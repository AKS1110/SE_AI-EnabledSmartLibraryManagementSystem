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Schedule" sheetId="1" r:id="rId5"/>
    <sheet state="visible" name="About" sheetId="2" r:id="rId6"/>
  </sheets>
  <definedNames>
    <definedName localSheetId="0" name="today">ProjectSchedule!$E$3</definedName>
    <definedName localSheetId="0" name="task_progress">ProjectSchedule!$D$1</definedName>
    <definedName localSheetId="0" name="task_start">ProjectSchedule!$E$1</definedName>
    <definedName localSheetId="0" name="task_end">ProjectSchedule!$F$1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6">
      <text>
        <t xml:space="preserve">DAYS:
This column calculates the duration of the task in calendar days. The duration includes both the Start and End dates.</t>
      </text>
    </comment>
  </commentList>
</comments>
</file>

<file path=xl/sharedStrings.xml><?xml version="1.0" encoding="utf-8"?>
<sst xmlns="http://schemas.openxmlformats.org/spreadsheetml/2006/main" count="61" uniqueCount="53">
  <si>
    <t>AI-Enabled Smart Library Management System</t>
  </si>
  <si>
    <t>SIMPLE GANTT CHART by Vertex42.com</t>
  </si>
  <si>
    <t>Aradhya Goyal - 1024160135</t>
  </si>
  <si>
    <t>Project Start:</t>
  </si>
  <si>
    <t>Amanjot Kaur Sidhu - 1024160025</t>
  </si>
  <si>
    <t>Today:</t>
  </si>
  <si>
    <t>Arnav Agarwal - 1024160010</t>
  </si>
  <si>
    <t>Display Week:</t>
  </si>
  <si>
    <t>https://www.vertex42.com/ExcelTemplates/simple-gantt-chart.html</t>
  </si>
  <si>
    <t>© 2018-2019 Vertex42 LLC</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</si>
  <si>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</si>
  <si>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</si>
  <si>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</si>
  <si>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</si>
  <si>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</si>
  <si>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</si>
  <si>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</si>
  <si>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</si>
  <si>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</si>
  <si>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</si>
  <si>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</si>
  <si>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TASK</t>
  </si>
  <si>
    <t>ASSIGNED
TO</t>
  </si>
  <si>
    <t>PROGRESS</t>
  </si>
  <si>
    <t>START</t>
  </si>
  <si>
    <t>END</t>
  </si>
  <si>
    <t>DAYS</t>
  </si>
  <si>
    <t>Phase 1 - Inception, Ideation &amp; Proposal Setup</t>
  </si>
  <si>
    <t>Problem Identification &amp; Conventional CRUD Limitations Research</t>
  </si>
  <si>
    <t>Multi-Agent Architectural Concept &amp; Scope Definition</t>
  </si>
  <si>
    <t>Project Pitch Slide Deck Design &amp; Proposal Presentation</t>
  </si>
  <si>
    <t>Formal LaTeX Project Proposal &amp; TikZ Architecture Modeling</t>
  </si>
  <si>
    <t>Scope Refinement &amp; Pivot to Smart Library System</t>
  </si>
  <si>
    <t>Phase 2: System Modeling &amp; Architectural Design</t>
  </si>
  <si>
    <t>Multi-Agent Roles &amp; Task Boundaries Specification</t>
  </si>
  <si>
    <t>UML Use Case Diagram Engineering &amp; Dependency Mapping</t>
  </si>
  <si>
    <t>3-Level Data Flow Diagrams (DFD Level 0, 1, 2) Design</t>
  </si>
  <si>
    <t>Database Entity &amp; Data Store Identification (MySQL/Stores D1–D3)</t>
  </si>
  <si>
    <t>Operational Constraints &amp; Measurable Evaluation Criteria Definition</t>
  </si>
  <si>
    <t>Phase 3: Repository Setup &amp; Documentation Infrastructure</t>
  </si>
  <si>
    <t>GitHub Repository Structure Customization &amp; Cleanup</t>
  </si>
  <si>
    <t>MkDocs Material Theme, Navigation &amp; Styling Configuration</t>
  </si>
  <si>
    <t>CI/CD Automation via GitHub Actions for Documentation</t>
  </si>
  <si>
    <t>GitHub Pages Deployment (gh-pages Branch Configuration)</t>
  </si>
  <si>
    <t>Master Schedule &amp; Gantt Tracking Setup</t>
  </si>
  <si>
    <t>Phase 4 Title</t>
  </si>
  <si>
    <t>Task 1</t>
  </si>
  <si>
    <t>Task 2</t>
  </si>
  <si>
    <t>Task 3</t>
  </si>
  <si>
    <t>Task 4</t>
  </si>
  <si>
    <t>Task 5</t>
  </si>
  <si>
    <t>Phase 5 Title</t>
  </si>
  <si>
    <t>Insert new rows ABOVE this one</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</si>
</sst>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d\,\ m/d/yyyy"/>
    <numFmt numFmtId="165" formatCode="mmm\ d\,\ yyyy"/>
    <numFmt numFmtId="166" formatCode="d"/>
    <numFmt numFmtId="167" formatCode="m/d/yy"/>
    <numFmt numFmtId="168" formatCode="dd/MM/yyyy"/>
    <numFmt numFmtId="169" formatCode="D/M/YYYY"/>
  </numFmts>
  <fonts count="32">
    <font>
      <sz val="11.0"/>
      <color theme="1"/>
      <name val="Calibri"/>
      <scheme val="minor"/>
    </font>
    <font>
      <b/>
      <sz val="22.0"/>
      <color rgb="FF595959"/>
      <name val="Calibri"/>
    </font>
    <font>
      <sz val="10.0"/>
      <color theme="1"/>
      <name val="Calibri"/>
    </font>
    <font>
      <sz val="9.0"/>
      <color rgb="FF366092"/>
      <name val="Arial"/>
    </font>
    <font>
      <b/>
      <sz val="10.0"/>
      <color theme="1"/>
      <name val="Calibri"/>
    </font>
    <font>
      <sz val="14.0"/>
      <color theme="1"/>
      <name val="Calibri"/>
    </font>
    <font>
      <sz val="11.0"/>
      <color theme="1"/>
      <name val="Calibri"/>
    </font>
    <font/>
    <font>
      <b/>
      <u/>
      <sz val="12.0"/>
      <color rgb="FF595959"/>
      <name val="Calibri"/>
    </font>
    <font>
      <sz val="14.0"/>
      <color theme="1"/>
      <name val="Calibri"/>
      <scheme val="minor"/>
    </font>
    <font>
      <b/>
      <sz val="12.0"/>
      <color rgb="FF595959"/>
      <name val="Calibri"/>
    </font>
    <font>
      <u/>
      <sz val="11.0"/>
      <color rgb="FF7F7F7F"/>
      <name val="Calibri"/>
    </font>
    <font>
      <sz val="11.0"/>
      <color rgb="FF7F7F7F"/>
      <name val="Calibri"/>
    </font>
    <font>
      <sz val="10.0"/>
      <color rgb="FF595959"/>
      <name val="Calibri"/>
    </font>
    <font>
      <sz val="20.0"/>
      <color theme="1"/>
      <name val="Calibri"/>
    </font>
    <font>
      <b/>
      <sz val="16.0"/>
      <color rgb="FF366092"/>
      <name val="Calibri"/>
    </font>
    <font>
      <sz val="11.0"/>
      <color rgb="FF1D2129"/>
      <name val="Calibri"/>
    </font>
    <font>
      <u/>
      <sz val="11.0"/>
      <color rgb="FF0000FF"/>
      <name val="Arial"/>
    </font>
    <font>
      <sz val="9.0"/>
      <color theme="1"/>
      <name val="Calibri"/>
    </font>
    <font>
      <sz val="16.0"/>
      <color theme="1"/>
      <name val="Calibri"/>
    </font>
    <font>
      <b/>
      <sz val="9.0"/>
      <color theme="0"/>
      <name val="Calibri"/>
    </font>
    <font>
      <sz val="8.0"/>
      <color theme="0"/>
      <name val="Calibri"/>
    </font>
    <font>
      <b/>
      <sz val="11.0"/>
      <color theme="1"/>
      <name val="Calibri"/>
    </font>
    <font>
      <color theme="1"/>
      <name val="Calibri"/>
      <scheme val="minor"/>
    </font>
    <font>
      <i/>
      <sz val="9.0"/>
      <color theme="1"/>
      <name val="Calibri"/>
    </font>
    <font>
      <sz val="10.0"/>
      <color rgb="FF7F7F7F"/>
      <name val="Calibri"/>
    </font>
    <font>
      <b/>
      <u/>
      <sz val="11.0"/>
      <color rgb="FF7F7F7F"/>
      <name val="Calibri"/>
    </font>
    <font>
      <b/>
      <sz val="11.0"/>
      <color rgb="FF7F7F7F"/>
      <name val="Calibri"/>
    </font>
    <font>
      <sz val="11.0"/>
      <color theme="0"/>
      <name val="Calibri"/>
    </font>
    <font>
      <u/>
      <sz val="9.0"/>
      <color rgb="FF7F7F7F"/>
      <name val="Arial"/>
    </font>
    <font>
      <sz val="10.0"/>
      <color rgb="FF7F7F7F"/>
      <name val="Arial"/>
    </font>
    <font>
      <sz val="9.0"/>
      <color rgb="FF7F7F7F"/>
      <name val="Arial"/>
    </font>
  </fonts>
  <fills count="15">
    <fill>
      <patternFill patternType="none"/>
    </fill>
    <fill>
      <patternFill patternType="lightGray"/>
    </fill>
    <fill>
      <patternFill patternType="solid">
        <fgColor rgb="FFD8D8D8"/>
        <bgColor rgb="FFD8D8D8"/>
      </patternFill>
    </fill>
    <fill>
      <patternFill patternType="solid">
        <fgColor rgb="FF595959"/>
        <bgColor rgb="FF595959"/>
      </patternFill>
    </fill>
    <fill>
      <patternFill patternType="solid">
        <fgColor rgb="FFB8CCE4"/>
        <bgColor rgb="FFB8CCE4"/>
      </patternFill>
    </fill>
    <fill>
      <patternFill patternType="solid">
        <fgColor rgb="FFDBE5F1"/>
        <bgColor rgb="FFDBE5F1"/>
      </patternFill>
    </fill>
    <fill>
      <patternFill patternType="solid">
        <fgColor rgb="FFE5B8B7"/>
        <bgColor rgb="FFE5B8B7"/>
      </patternFill>
    </fill>
    <fill>
      <patternFill patternType="solid">
        <fgColor rgb="FFF2DBDB"/>
        <bgColor rgb="FFF2DBDB"/>
      </patternFill>
    </fill>
    <fill>
      <patternFill patternType="solid">
        <fgColor rgb="FFD6E3BC"/>
        <bgColor rgb="FFD6E3BC"/>
      </patternFill>
    </fill>
    <fill>
      <patternFill patternType="solid">
        <fgColor rgb="FFEAF1DD"/>
        <bgColor rgb="FFEAF1DD"/>
      </patternFill>
    </fill>
    <fill>
      <patternFill patternType="solid">
        <fgColor rgb="FFCCC0D9"/>
        <bgColor rgb="FFCCC0D9"/>
      </patternFill>
    </fill>
    <fill>
      <patternFill patternType="solid">
        <fgColor rgb="FFE5DFEC"/>
        <bgColor rgb="FFE5DFEC"/>
      </patternFill>
    </fill>
    <fill>
      <patternFill patternType="solid">
        <fgColor rgb="FFB6DDE8"/>
        <bgColor rgb="FFB6DDE8"/>
      </patternFill>
    </fill>
    <fill>
      <patternFill patternType="solid">
        <fgColor rgb="FFDAEEF3"/>
        <bgColor rgb="FFDAEEF3"/>
      </patternFill>
    </fill>
    <fill>
      <patternFill patternType="solid">
        <fgColor rgb="FFF2F2F2"/>
        <bgColor rgb="FFF2F2F2"/>
      </patternFill>
    </fill>
  </fills>
  <borders count="17">
    <border/>
    <border>
      <left style="thin">
        <color rgb="FFA5A5A5"/>
      </left>
      <top style="thin">
        <color rgb="FFA5A5A5"/>
      </top>
      <bottom style="thin">
        <color rgb="FFA5A5A5"/>
      </bottom>
    </border>
    <border>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
      <left style="thin">
        <color rgb="FFA5A5A5"/>
      </left>
      <top style="thin">
        <color rgb="FFA5A5A5"/>
      </top>
      <bottom/>
    </border>
    <border>
      <top style="thin">
        <color rgb="FFA5A5A5"/>
      </top>
      <bottom/>
    </border>
    <border>
      <right style="thin">
        <color rgb="FFA5A5A5"/>
      </right>
      <top style="thin">
        <color rgb="FFA5A5A5"/>
      </top>
      <bottom/>
    </border>
    <border>
      <left style="thin">
        <color rgb="FFA5A5A5"/>
      </left>
      <right/>
      <top/>
      <bottom/>
    </border>
    <border>
      <left/>
      <right/>
      <top/>
      <bottom/>
    </border>
    <border>
      <left/>
      <right style="thin">
        <color rgb="FFA5A5A5"/>
      </right>
      <top/>
      <bottom/>
    </border>
    <border>
      <left/>
      <right/>
      <top style="thin">
        <color rgb="FFA5A5A5"/>
      </top>
      <bottom/>
    </border>
    <border>
      <left style="thin">
        <color rgb="FFA5A5A5"/>
      </left>
      <right style="thin">
        <color rgb="FFA5A5A5"/>
      </right>
      <top/>
      <bottom style="medium">
        <color rgb="FFD8D8D8"/>
      </bottom>
    </border>
    <border>
      <top style="medium">
        <color rgb="FFD8D8D8"/>
      </top>
      <bottom style="medium">
        <color rgb="FFD8D8D8"/>
      </bottom>
    </border>
    <border>
      <left style="thin">
        <color rgb="FFD8D8D8"/>
      </left>
      <right style="thin">
        <color rgb="FFD8D8D8"/>
      </right>
      <top style="medium">
        <color rgb="FFD8D8D8"/>
      </top>
      <bottom style="medium">
        <color rgb="FFD8D8D8"/>
      </bottom>
    </border>
    <border>
      <left/>
      <right/>
      <top style="medium">
        <color rgb="FFD8D8D8"/>
      </top>
      <bottom style="medium">
        <color rgb="FFD8D8D8"/>
      </bottom>
    </border>
    <border>
      <left/>
      <top style="medium">
        <color rgb="FFD8D8D8"/>
      </top>
      <bottom style="medium">
        <color rgb="FFD8D8D8"/>
      </bottom>
    </border>
    <border>
      <right/>
      <top style="medium">
        <color rgb="FFD8D8D8"/>
      </top>
      <bottom style="medium">
        <color rgb="FFD8D8D8"/>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0" fontId="1" numFmtId="0" xfId="0" applyAlignment="1" applyFont="1">
      <alignment horizontal="left" readingOrder="0"/>
    </xf>
    <xf borderId="0" fillId="0" fontId="2" numFmtId="0" xfId="0" applyFont="1"/>
    <xf borderId="0" fillId="0" fontId="2" numFmtId="0" xfId="0" applyAlignment="1" applyFont="1">
      <alignment vertical="top"/>
    </xf>
    <xf borderId="0" fillId="0" fontId="3" numFmtId="0" xfId="0" applyAlignment="1" applyFont="1">
      <alignment horizontal="left" vertical="center"/>
    </xf>
    <xf borderId="0" fillId="0" fontId="4" numFmtId="0" xfId="0" applyAlignment="1" applyFont="1">
      <alignment horizontal="left" vertical="center"/>
    </xf>
    <xf borderId="0" fillId="0" fontId="5" numFmtId="0" xfId="0" applyAlignment="1" applyFont="1">
      <alignment readingOrder="0"/>
    </xf>
    <xf borderId="0" fillId="0" fontId="6" numFmtId="0" xfId="0" applyAlignment="1" applyFont="1">
      <alignment horizontal="right" vertical="center"/>
    </xf>
    <xf borderId="1" fillId="0" fontId="6" numFmtId="164" xfId="0" applyAlignment="1" applyBorder="1" applyFont="1" applyNumberFormat="1">
      <alignment horizontal="center" readingOrder="0" vertical="center"/>
    </xf>
    <xf borderId="2" fillId="0" fontId="7" numFmtId="0" xfId="0" applyBorder="1" applyFont="1"/>
    <xf borderId="0" fillId="0" fontId="8" numFmtId="0" xfId="0" applyAlignment="1" applyFont="1">
      <alignment horizontal="left" vertical="center"/>
    </xf>
    <xf borderId="0" fillId="0" fontId="9" numFmtId="0" xfId="0" applyAlignment="1" applyFont="1">
      <alignment readingOrder="0"/>
    </xf>
    <xf borderId="0" fillId="0" fontId="10" numFmtId="0" xfId="0" applyAlignment="1" applyFont="1">
      <alignment horizontal="left" vertical="center"/>
    </xf>
    <xf borderId="0" fillId="0" fontId="2" numFmtId="0" xfId="0" applyAlignment="1" applyFont="1">
      <alignment horizontal="left" vertical="center"/>
    </xf>
    <xf borderId="3" fillId="0" fontId="6" numFmtId="0" xfId="0" applyAlignment="1" applyBorder="1" applyFont="1">
      <alignment horizontal="center" vertical="center"/>
    </xf>
    <xf borderId="0" fillId="0" fontId="11" numFmtId="0" xfId="0" applyAlignment="1" applyFont="1">
      <alignment vertical="center"/>
    </xf>
    <xf borderId="0" fillId="0" fontId="12" numFmtId="0" xfId="0" applyAlignment="1" applyFont="1">
      <alignment vertical="center"/>
    </xf>
    <xf borderId="0" fillId="0" fontId="13" numFmtId="0" xfId="0" applyAlignment="1" applyFont="1">
      <alignment vertical="top"/>
    </xf>
    <xf borderId="4" fillId="2" fontId="6" numFmtId="165" xfId="0" applyAlignment="1" applyBorder="1" applyFill="1" applyFont="1" applyNumberFormat="1">
      <alignment horizontal="left" shrinkToFit="0" vertical="center" wrapText="1"/>
    </xf>
    <xf borderId="0" fillId="0" fontId="14" numFmtId="0" xfId="0" applyFont="1"/>
    <xf borderId="5" fillId="0" fontId="7" numFmtId="0" xfId="0" applyBorder="1" applyFont="1"/>
    <xf borderId="0" fillId="0" fontId="15" numFmtId="0" xfId="0" applyAlignment="1" applyFont="1">
      <alignment vertical="center"/>
    </xf>
    <xf borderId="6" fillId="0" fontId="7" numFmtId="0" xfId="0" applyBorder="1" applyFont="1"/>
    <xf borderId="0" fillId="0" fontId="16" numFmtId="0" xfId="0" applyAlignment="1" applyFont="1">
      <alignment horizontal="left" shrinkToFit="0" vertical="top" wrapText="1"/>
    </xf>
    <xf borderId="0" fillId="0" fontId="16" numFmtId="0" xfId="0" applyAlignment="1" applyFont="1">
      <alignment shrinkToFit="0" vertical="top" wrapText="1"/>
    </xf>
    <xf borderId="0" fillId="0" fontId="17" numFmtId="0" xfId="0" applyAlignment="1" applyFont="1">
      <alignment horizontal="left"/>
    </xf>
    <xf borderId="0" fillId="0" fontId="6" numFmtId="0" xfId="0" applyAlignment="1" applyFont="1">
      <alignment horizontal="center"/>
    </xf>
    <xf borderId="7" fillId="2" fontId="18" numFmtId="166" xfId="0" applyAlignment="1" applyBorder="1" applyFill="1" applyFont="1" applyNumberFormat="1">
      <alignment horizontal="center" vertical="center"/>
    </xf>
    <xf borderId="8" fillId="2" fontId="18" numFmtId="166" xfId="0" applyAlignment="1" applyBorder="1" applyFill="1" applyFont="1" applyNumberFormat="1">
      <alignment horizontal="center" vertical="center"/>
    </xf>
    <xf borderId="9" fillId="2" fontId="18" numFmtId="166" xfId="0" applyAlignment="1" applyBorder="1" applyFill="1" applyFont="1" applyNumberFormat="1">
      <alignment horizontal="center" vertical="center"/>
    </xf>
    <xf borderId="0" fillId="0" fontId="19" numFmtId="0" xfId="0" applyAlignment="1" applyFont="1">
      <alignment horizontal="right" vertical="center"/>
    </xf>
    <xf borderId="10" fillId="3" fontId="20" numFmtId="0" xfId="0" applyAlignment="1" applyBorder="1" applyFill="1" applyFont="1">
      <alignment horizontal="left" vertical="center"/>
    </xf>
    <xf borderId="10" fillId="3" fontId="20" numFmtId="0" xfId="0" applyAlignment="1" applyBorder="1" applyFill="1" applyFont="1">
      <alignment horizontal="center" shrinkToFit="0" vertical="center" wrapText="1"/>
    </xf>
    <xf borderId="11" fillId="3" fontId="21" numFmtId="0" xfId="0" applyAlignment="1" applyBorder="1" applyFill="1" applyFont="1">
      <alignment horizontal="center" shrinkToFit="1" vertical="center" wrapText="0"/>
    </xf>
    <xf borderId="12" fillId="0" fontId="6" numFmtId="0" xfId="0" applyAlignment="1" applyBorder="1" applyFont="1">
      <alignment horizontal="left" vertical="center"/>
    </xf>
    <xf borderId="12" fillId="0" fontId="6" numFmtId="0" xfId="0" applyAlignment="1" applyBorder="1" applyFont="1">
      <alignment horizontal="center" vertical="center"/>
    </xf>
    <xf borderId="12" fillId="0" fontId="6" numFmtId="9" xfId="0" applyAlignment="1" applyBorder="1" applyFont="1" applyNumberFormat="1">
      <alignment horizontal="center" vertical="center"/>
    </xf>
    <xf borderId="12" fillId="0" fontId="6" numFmtId="167" xfId="0" applyAlignment="1" applyBorder="1" applyFont="1" applyNumberFormat="1">
      <alignment horizontal="center" vertical="center"/>
    </xf>
    <xf borderId="13" fillId="0" fontId="6" numFmtId="0" xfId="0" applyAlignment="1" applyBorder="1" applyFont="1">
      <alignment vertical="center"/>
    </xf>
    <xf borderId="14" fillId="4" fontId="22" numFmtId="0" xfId="0" applyAlignment="1" applyBorder="1" applyFill="1" applyFont="1">
      <alignment horizontal="left" readingOrder="0" vertical="center"/>
    </xf>
    <xf borderId="14" fillId="4" fontId="22" numFmtId="0" xfId="0" applyAlignment="1" applyBorder="1" applyFill="1" applyFont="1">
      <alignment horizontal="center" vertical="center"/>
    </xf>
    <xf borderId="14" fillId="4" fontId="6" numFmtId="9" xfId="0" applyAlignment="1" applyBorder="1" applyFill="1" applyFont="1" applyNumberFormat="1">
      <alignment horizontal="center" vertical="center"/>
    </xf>
    <xf borderId="14" fillId="4" fontId="6" numFmtId="167" xfId="0" applyAlignment="1" applyBorder="1" applyFill="1" applyFont="1" applyNumberFormat="1">
      <alignment horizontal="center" vertical="center"/>
    </xf>
    <xf borderId="15" fillId="5" fontId="6" numFmtId="0" xfId="0" applyAlignment="1" applyBorder="1" applyFill="1" applyFont="1">
      <alignment horizontal="left" readingOrder="0" vertical="center"/>
    </xf>
    <xf borderId="16" fillId="0" fontId="7" numFmtId="0" xfId="0" applyBorder="1" applyFont="1"/>
    <xf borderId="14" fillId="5" fontId="6" numFmtId="9" xfId="0" applyAlignment="1" applyBorder="1" applyFill="1" applyFont="1" applyNumberFormat="1">
      <alignment horizontal="center" readingOrder="0" vertical="center"/>
    </xf>
    <xf borderId="14" fillId="5" fontId="6" numFmtId="168" xfId="0" applyAlignment="1" applyBorder="1" applyFill="1" applyFont="1" applyNumberFormat="1">
      <alignment horizontal="center" readingOrder="0" vertical="center"/>
    </xf>
    <xf borderId="13" fillId="0" fontId="6" numFmtId="0" xfId="0" applyAlignment="1" applyBorder="1" applyFont="1">
      <alignment horizontal="right" vertical="center"/>
    </xf>
    <xf borderId="15" fillId="6" fontId="22" numFmtId="0" xfId="0" applyAlignment="1" applyBorder="1" applyFill="1" applyFont="1">
      <alignment horizontal="left" readingOrder="0" vertical="center"/>
    </xf>
    <xf borderId="14" fillId="6" fontId="6" numFmtId="9" xfId="0" applyAlignment="1" applyBorder="1" applyFill="1" applyFont="1" applyNumberFormat="1">
      <alignment horizontal="center" vertical="center"/>
    </xf>
    <xf borderId="14" fillId="6" fontId="6" numFmtId="167" xfId="0" applyAlignment="1" applyBorder="1" applyFill="1" applyFont="1" applyNumberFormat="1">
      <alignment horizontal="center" vertical="center"/>
    </xf>
    <xf borderId="15" fillId="7" fontId="6" numFmtId="0" xfId="0" applyAlignment="1" applyBorder="1" applyFill="1" applyFont="1">
      <alignment horizontal="left" readingOrder="0" vertical="center"/>
    </xf>
    <xf borderId="14" fillId="7" fontId="6" numFmtId="9" xfId="0" applyAlignment="1" applyBorder="1" applyFill="1" applyFont="1" applyNumberFormat="1">
      <alignment horizontal="center" readingOrder="0" vertical="center"/>
    </xf>
    <xf borderId="14" fillId="7" fontId="6" numFmtId="168" xfId="0" applyAlignment="1" applyBorder="1" applyFill="1" applyFont="1" applyNumberFormat="1">
      <alignment horizontal="center" readingOrder="0" vertical="center"/>
    </xf>
    <xf borderId="0" fillId="7" fontId="23" numFmtId="0" xfId="0" applyAlignment="1" applyFill="1" applyFont="1">
      <alignment readingOrder="0"/>
    </xf>
    <xf borderId="16" fillId="7" fontId="6" numFmtId="0" xfId="0" applyAlignment="1" applyBorder="1" applyFill="1" applyFont="1">
      <alignment horizontal="left" vertical="center"/>
    </xf>
    <xf borderId="15" fillId="8" fontId="22" numFmtId="0" xfId="0" applyAlignment="1" applyBorder="1" applyFill="1" applyFont="1">
      <alignment horizontal="left" readingOrder="0" vertical="center"/>
    </xf>
    <xf borderId="14" fillId="8" fontId="6" numFmtId="9" xfId="0" applyAlignment="1" applyBorder="1" applyFill="1" applyFont="1" applyNumberFormat="1">
      <alignment horizontal="center" vertical="center"/>
    </xf>
    <xf borderId="14" fillId="8" fontId="6" numFmtId="167" xfId="0" applyAlignment="1" applyBorder="1" applyFill="1" applyFont="1" applyNumberFormat="1">
      <alignment horizontal="center" vertical="center"/>
    </xf>
    <xf borderId="15" fillId="9" fontId="6" numFmtId="0" xfId="0" applyAlignment="1" applyBorder="1" applyFill="1" applyFont="1">
      <alignment horizontal="left" readingOrder="0" vertical="center"/>
    </xf>
    <xf borderId="14" fillId="9" fontId="6" numFmtId="9" xfId="0" applyAlignment="1" applyBorder="1" applyFill="1" applyFont="1" applyNumberFormat="1">
      <alignment horizontal="center" readingOrder="0" vertical="center"/>
    </xf>
    <xf borderId="14" fillId="9" fontId="6" numFmtId="168" xfId="0" applyAlignment="1" applyBorder="1" applyFill="1" applyFont="1" applyNumberFormat="1">
      <alignment horizontal="center" readingOrder="0" vertical="center"/>
    </xf>
    <xf borderId="14" fillId="10" fontId="22" numFmtId="0" xfId="0" applyAlignment="1" applyBorder="1" applyFill="1" applyFont="1">
      <alignment horizontal="left" vertical="center"/>
    </xf>
    <xf borderId="14" fillId="10" fontId="22" numFmtId="0" xfId="0" applyAlignment="1" applyBorder="1" applyFill="1" applyFont="1">
      <alignment horizontal="center" vertical="center"/>
    </xf>
    <xf borderId="14" fillId="10" fontId="6" numFmtId="9" xfId="0" applyAlignment="1" applyBorder="1" applyFill="1" applyFont="1" applyNumberFormat="1">
      <alignment horizontal="center" vertical="center"/>
    </xf>
    <xf borderId="14" fillId="10" fontId="6" numFmtId="167" xfId="0" applyAlignment="1" applyBorder="1" applyFill="1" applyFont="1" applyNumberFormat="1">
      <alignment horizontal="center" vertical="center"/>
    </xf>
    <xf borderId="14" fillId="11" fontId="6" numFmtId="0" xfId="0" applyAlignment="1" applyBorder="1" applyFill="1" applyFont="1">
      <alignment horizontal="left" vertical="center"/>
    </xf>
    <xf borderId="14" fillId="11" fontId="6" numFmtId="0" xfId="0" applyAlignment="1" applyBorder="1" applyFill="1" applyFont="1">
      <alignment horizontal="center" vertical="center"/>
    </xf>
    <xf borderId="14" fillId="11" fontId="6" numFmtId="9" xfId="0" applyAlignment="1" applyBorder="1" applyFill="1" applyFont="1" applyNumberFormat="1">
      <alignment horizontal="center" vertical="center"/>
    </xf>
    <xf borderId="14" fillId="11" fontId="6" numFmtId="167" xfId="0" applyAlignment="1" applyBorder="1" applyFill="1" applyFont="1" applyNumberFormat="1">
      <alignment horizontal="center" vertical="center"/>
    </xf>
    <xf borderId="14" fillId="12" fontId="22" numFmtId="0" xfId="0" applyAlignment="1" applyBorder="1" applyFill="1" applyFont="1">
      <alignment horizontal="left" vertical="center"/>
    </xf>
    <xf borderId="14" fillId="12" fontId="22" numFmtId="0" xfId="0" applyAlignment="1" applyBorder="1" applyFill="1" applyFont="1">
      <alignment horizontal="center" vertical="center"/>
    </xf>
    <xf borderId="14" fillId="12" fontId="6" numFmtId="9" xfId="0" applyAlignment="1" applyBorder="1" applyFill="1" applyFont="1" applyNumberFormat="1">
      <alignment horizontal="center" vertical="center"/>
    </xf>
    <xf borderId="14" fillId="12" fontId="6" numFmtId="167" xfId="0" applyAlignment="1" applyBorder="1" applyFill="1" applyFont="1" applyNumberFormat="1">
      <alignment horizontal="center" vertical="center"/>
    </xf>
    <xf borderId="14" fillId="13" fontId="6" numFmtId="0" xfId="0" applyAlignment="1" applyBorder="1" applyFill="1" applyFont="1">
      <alignment horizontal="left" vertical="center"/>
    </xf>
    <xf borderId="14" fillId="13" fontId="6" numFmtId="0" xfId="0" applyAlignment="1" applyBorder="1" applyFill="1" applyFont="1">
      <alignment horizontal="center" vertical="center"/>
    </xf>
    <xf borderId="14" fillId="13" fontId="6" numFmtId="9" xfId="0" applyAlignment="1" applyBorder="1" applyFill="1" applyFont="1" applyNumberFormat="1">
      <alignment horizontal="center" vertical="center"/>
    </xf>
    <xf borderId="14" fillId="13" fontId="6" numFmtId="167" xfId="0" applyAlignment="1" applyBorder="1" applyFill="1" applyFont="1" applyNumberFormat="1">
      <alignment horizontal="center" vertical="center"/>
    </xf>
    <xf borderId="14" fillId="14" fontId="24" numFmtId="0" xfId="0" applyAlignment="1" applyBorder="1" applyFill="1" applyFont="1">
      <alignment horizontal="left" vertical="center"/>
    </xf>
    <xf borderId="14" fillId="14" fontId="24" numFmtId="0" xfId="0" applyAlignment="1" applyBorder="1" applyFill="1" applyFont="1">
      <alignment horizontal="center" vertical="center"/>
    </xf>
    <xf borderId="14" fillId="14" fontId="6" numFmtId="9" xfId="0" applyAlignment="1" applyBorder="1" applyFill="1" applyFont="1" applyNumberFormat="1">
      <alignment horizontal="center" vertical="center"/>
    </xf>
    <xf borderId="14" fillId="14" fontId="25" numFmtId="167" xfId="0" applyAlignment="1" applyBorder="1" applyFill="1" applyFont="1" applyNumberFormat="1">
      <alignment horizontal="left" vertical="center"/>
    </xf>
    <xf borderId="14" fillId="14" fontId="6" numFmtId="167" xfId="0" applyAlignment="1" applyBorder="1" applyFill="1" applyFont="1" applyNumberFormat="1">
      <alignment horizontal="center" vertical="center"/>
    </xf>
    <xf borderId="14" fillId="14" fontId="6" numFmtId="0" xfId="0" applyAlignment="1" applyBorder="1" applyFill="1" applyFont="1">
      <alignment horizontal="center" vertical="center"/>
    </xf>
    <xf borderId="13" fillId="14" fontId="6" numFmtId="0" xfId="0" applyAlignment="1" applyBorder="1" applyFill="1" applyFont="1">
      <alignment vertical="center"/>
    </xf>
    <xf borderId="0" fillId="0" fontId="26" numFmtId="0" xfId="0" applyFont="1"/>
    <xf borderId="0" fillId="0" fontId="27" numFmtId="0" xfId="0" applyFont="1"/>
    <xf borderId="0" fillId="0" fontId="28" numFmtId="169" xfId="0" applyAlignment="1" applyFont="1" applyNumberFormat="1">
      <alignment horizontal="center"/>
    </xf>
    <xf borderId="0" fillId="0" fontId="29" numFmtId="0" xfId="0" applyFont="1"/>
    <xf borderId="0" fillId="0" fontId="30" numFmtId="0" xfId="0" applyFont="1"/>
    <xf borderId="0" fillId="0" fontId="31"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95250</xdr:rowOff>
    </xdr:from>
    <xdr:ext cx="1905000" cy="4286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vertex42.com/ExcelTemplates/simple-gantt-chart.html?utm_source=v42&amp;utm_medium=file&amp;utm_campaign=templates&amp;utm_term=simple-gantt-chart_ms&amp;utm_content=title" TargetMode="External"/><Relationship Id="rId3" Type="http://schemas.openxmlformats.org/officeDocument/2006/relationships/hyperlink" Target="https://www.vertex42.com/ExcelTemplates/simple-gantt-chart.html?utm_source=v42&amp;utm_medium=file&amp;utm_campaign=templates&amp;utm_term=simple-gantt-chart_ms&amp;utm_content=url"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www.vertex42.com/ExcelTemplates/simple-gantt-chart.html?utm_source=v42&amp;utm_medium=file&amp;utm_campaign=templates&amp;utm_term=simple-gantt-chart_ms&amp;utm_content=title" TargetMode="External"/><Relationship Id="rId2" Type="http://schemas.openxmlformats.org/officeDocument/2006/relationships/hyperlink" Target="https://www.vertex42.com/ExcelTemplates/simple-gantt-chart.html?utm_source=v42&amp;utm_medium=file&amp;utm_campaign=templates&amp;utm_term=simple-gantt-chart_ms&amp;utm_content=url" TargetMode="External"/><Relationship Id="rId3" Type="http://schemas.openxmlformats.org/officeDocument/2006/relationships/hyperlink" Target="https://www.vertex42.com/ExcelTemplates/simple-gantt-chart.html?utm_source=v42&amp;utm_medium=file&amp;utm_campaign=templates&amp;utm_term=simple-gantt-chart_ms&amp;utm_content=help" TargetMode="External"/><Relationship Id="rId4" Type="http://schemas.openxmlformats.org/officeDocument/2006/relationships/hyperlink" Target="https://www.vertex42.com/ExcelTemplates/excel-project-management.html?utm_source=v42&amp;utm_medium=file&amp;utm_campaign=templates&amp;utm_term=simple-gantt-chart_ms&amp;utm_content=text" TargetMode="External"/><Relationship Id="rId5"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2.71"/>
    <col customWidth="1" min="2" max="2" width="8.86"/>
    <col customWidth="1" min="3" max="3" width="50.0"/>
    <col customWidth="1" min="4" max="4" width="10.71"/>
    <col customWidth="1" min="5" max="5" width="18.57"/>
    <col customWidth="1" min="6" max="6" width="12.43"/>
    <col customWidth="1" min="7" max="7" width="2.71"/>
    <col customWidth="1" hidden="1" min="8" max="8" width="6.14"/>
    <col customWidth="1" min="9" max="64" width="2.57"/>
  </cols>
  <sheetData>
    <row r="1">
      <c r="B1" s="1" t="s">
        <v>0</v>
      </c>
      <c r="F1" s="1"/>
      <c r="G1" s="1"/>
      <c r="H1" s="1"/>
      <c r="I1" s="1"/>
      <c r="J1" s="1"/>
      <c r="K1" s="1"/>
      <c r="L1" s="1"/>
      <c r="M1" s="1"/>
      <c r="N1" s="1"/>
      <c r="O1" s="1"/>
      <c r="P1" s="1"/>
      <c r="Q1" s="1"/>
      <c r="R1" s="1"/>
      <c r="S1" s="4"/>
      <c r="T1" s="4"/>
      <c r="U1" s="4"/>
      <c r="V1" s="4"/>
      <c r="W1" s="4"/>
      <c r="X1" s="4"/>
      <c r="Y1" s="4"/>
      <c r="Z1" s="4"/>
      <c r="AA1" s="4"/>
    </row>
    <row r="2" ht="19.5" customHeight="1">
      <c r="B2" s="6" t="s">
        <v>2</v>
      </c>
      <c r="C2" s="6"/>
      <c r="D2" s="7" t="s">
        <v>3</v>
      </c>
      <c r="E2" s="8">
        <v>46232.0</v>
      </c>
      <c r="F2" s="9"/>
    </row>
    <row r="3" ht="19.5" customHeight="1">
      <c r="B3" s="6" t="s">
        <v>4</v>
      </c>
      <c r="D3" s="7" t="s">
        <v>5</v>
      </c>
      <c r="E3" s="8">
        <v>46274.0</v>
      </c>
      <c r="F3" s="9"/>
    </row>
    <row r="4" ht="19.5" customHeight="1">
      <c r="B4" s="11" t="s">
        <v>6</v>
      </c>
      <c r="D4" s="7" t="s">
        <v>7</v>
      </c>
      <c r="E4" s="14">
        <v>1.0</v>
      </c>
      <c r="I4" s="18">
        <f>I5</f>
        <v>46230</v>
      </c>
      <c r="J4" s="20"/>
      <c r="K4" s="20"/>
      <c r="L4" s="20"/>
      <c r="M4" s="20"/>
      <c r="N4" s="20"/>
      <c r="O4" s="22"/>
      <c r="P4" s="18">
        <f>P5</f>
        <v>46237</v>
      </c>
      <c r="Q4" s="20"/>
      <c r="R4" s="20"/>
      <c r="S4" s="20"/>
      <c r="T4" s="20"/>
      <c r="U4" s="20"/>
      <c r="V4" s="22"/>
      <c r="W4" s="18">
        <f>W5</f>
        <v>46244</v>
      </c>
      <c r="X4" s="20"/>
      <c r="Y4" s="20"/>
      <c r="Z4" s="20"/>
      <c r="AA4" s="20"/>
      <c r="AB4" s="20"/>
      <c r="AC4" s="22"/>
      <c r="AD4" s="18">
        <f>AD5</f>
        <v>46251</v>
      </c>
      <c r="AE4" s="20"/>
      <c r="AF4" s="20"/>
      <c r="AG4" s="20"/>
      <c r="AH4" s="20"/>
      <c r="AI4" s="20"/>
      <c r="AJ4" s="22"/>
      <c r="AK4" s="18">
        <f>AK5</f>
        <v>46258</v>
      </c>
      <c r="AL4" s="20"/>
      <c r="AM4" s="20"/>
      <c r="AN4" s="20"/>
      <c r="AO4" s="20"/>
      <c r="AP4" s="20"/>
      <c r="AQ4" s="22"/>
      <c r="AR4" s="18">
        <f>AR5</f>
        <v>46265</v>
      </c>
      <c r="AS4" s="20"/>
      <c r="AT4" s="20"/>
      <c r="AU4" s="20"/>
      <c r="AV4" s="20"/>
      <c r="AW4" s="20"/>
      <c r="AX4" s="22"/>
      <c r="AY4" s="18">
        <f>AY5</f>
        <v>46272</v>
      </c>
      <c r="AZ4" s="20"/>
      <c r="BA4" s="20"/>
      <c r="BB4" s="20"/>
      <c r="BC4" s="20"/>
      <c r="BD4" s="20"/>
      <c r="BE4" s="22"/>
      <c r="BF4" s="18">
        <f>BF5</f>
        <v>46279</v>
      </c>
      <c r="BG4" s="20"/>
      <c r="BH4" s="20"/>
      <c r="BI4" s="20"/>
      <c r="BJ4" s="20"/>
      <c r="BK4" s="20"/>
      <c r="BL4" s="22"/>
    </row>
    <row r="5">
      <c r="A5" s="7"/>
      <c r="E5" s="26"/>
      <c r="G5" s="7"/>
      <c r="I5" s="27">
        <f>E2-WEEKDAY(E2,1)+2+7*(E4-1)</f>
        <v>46230</v>
      </c>
      <c r="J5" s="28">
        <f t="shared" ref="J5:BL5" si="1">I5+1</f>
        <v>46231</v>
      </c>
      <c r="K5" s="28">
        <f t="shared" si="1"/>
        <v>46232</v>
      </c>
      <c r="L5" s="28">
        <f t="shared" si="1"/>
        <v>46233</v>
      </c>
      <c r="M5" s="28">
        <f t="shared" si="1"/>
        <v>46234</v>
      </c>
      <c r="N5" s="28">
        <f t="shared" si="1"/>
        <v>46235</v>
      </c>
      <c r="O5" s="29">
        <f t="shared" si="1"/>
        <v>46236</v>
      </c>
      <c r="P5" s="27">
        <f t="shared" si="1"/>
        <v>46237</v>
      </c>
      <c r="Q5" s="28">
        <f t="shared" si="1"/>
        <v>46238</v>
      </c>
      <c r="R5" s="28">
        <f t="shared" si="1"/>
        <v>46239</v>
      </c>
      <c r="S5" s="28">
        <f t="shared" si="1"/>
        <v>46240</v>
      </c>
      <c r="T5" s="28">
        <f t="shared" si="1"/>
        <v>46241</v>
      </c>
      <c r="U5" s="28">
        <f t="shared" si="1"/>
        <v>46242</v>
      </c>
      <c r="V5" s="29">
        <f t="shared" si="1"/>
        <v>46243</v>
      </c>
      <c r="W5" s="27">
        <f t="shared" si="1"/>
        <v>46244</v>
      </c>
      <c r="X5" s="28">
        <f t="shared" si="1"/>
        <v>46245</v>
      </c>
      <c r="Y5" s="28">
        <f t="shared" si="1"/>
        <v>46246</v>
      </c>
      <c r="Z5" s="28">
        <f t="shared" si="1"/>
        <v>46247</v>
      </c>
      <c r="AA5" s="28">
        <f t="shared" si="1"/>
        <v>46248</v>
      </c>
      <c r="AB5" s="28">
        <f t="shared" si="1"/>
        <v>46249</v>
      </c>
      <c r="AC5" s="29">
        <f t="shared" si="1"/>
        <v>46250</v>
      </c>
      <c r="AD5" s="27">
        <f t="shared" si="1"/>
        <v>46251</v>
      </c>
      <c r="AE5" s="28">
        <f t="shared" si="1"/>
        <v>46252</v>
      </c>
      <c r="AF5" s="28">
        <f t="shared" si="1"/>
        <v>46253</v>
      </c>
      <c r="AG5" s="28">
        <f t="shared" si="1"/>
        <v>46254</v>
      </c>
      <c r="AH5" s="28">
        <f t="shared" si="1"/>
        <v>46255</v>
      </c>
      <c r="AI5" s="28">
        <f t="shared" si="1"/>
        <v>46256</v>
      </c>
      <c r="AJ5" s="29">
        <f t="shared" si="1"/>
        <v>46257</v>
      </c>
      <c r="AK5" s="27">
        <f t="shared" si="1"/>
        <v>46258</v>
      </c>
      <c r="AL5" s="28">
        <f t="shared" si="1"/>
        <v>46259</v>
      </c>
      <c r="AM5" s="28">
        <f t="shared" si="1"/>
        <v>46260</v>
      </c>
      <c r="AN5" s="28">
        <f t="shared" si="1"/>
        <v>46261</v>
      </c>
      <c r="AO5" s="28">
        <f t="shared" si="1"/>
        <v>46262</v>
      </c>
      <c r="AP5" s="28">
        <f t="shared" si="1"/>
        <v>46263</v>
      </c>
      <c r="AQ5" s="29">
        <f t="shared" si="1"/>
        <v>46264</v>
      </c>
      <c r="AR5" s="27">
        <f t="shared" si="1"/>
        <v>46265</v>
      </c>
      <c r="AS5" s="28">
        <f t="shared" si="1"/>
        <v>46266</v>
      </c>
      <c r="AT5" s="28">
        <f t="shared" si="1"/>
        <v>46267</v>
      </c>
      <c r="AU5" s="28">
        <f t="shared" si="1"/>
        <v>46268</v>
      </c>
      <c r="AV5" s="28">
        <f t="shared" si="1"/>
        <v>46269</v>
      </c>
      <c r="AW5" s="28">
        <f t="shared" si="1"/>
        <v>46270</v>
      </c>
      <c r="AX5" s="29">
        <f t="shared" si="1"/>
        <v>46271</v>
      </c>
      <c r="AY5" s="27">
        <f t="shared" si="1"/>
        <v>46272</v>
      </c>
      <c r="AZ5" s="28">
        <f t="shared" si="1"/>
        <v>46273</v>
      </c>
      <c r="BA5" s="28">
        <f t="shared" si="1"/>
        <v>46274</v>
      </c>
      <c r="BB5" s="28">
        <f t="shared" si="1"/>
        <v>46275</v>
      </c>
      <c r="BC5" s="28">
        <f t="shared" si="1"/>
        <v>46276</v>
      </c>
      <c r="BD5" s="28">
        <f t="shared" si="1"/>
        <v>46277</v>
      </c>
      <c r="BE5" s="29">
        <f t="shared" si="1"/>
        <v>46278</v>
      </c>
      <c r="BF5" s="27">
        <f t="shared" si="1"/>
        <v>46279</v>
      </c>
      <c r="BG5" s="28">
        <f t="shared" si="1"/>
        <v>46280</v>
      </c>
      <c r="BH5" s="28">
        <f t="shared" si="1"/>
        <v>46281</v>
      </c>
      <c r="BI5" s="28">
        <f t="shared" si="1"/>
        <v>46282</v>
      </c>
      <c r="BJ5" s="28">
        <f t="shared" si="1"/>
        <v>46283</v>
      </c>
      <c r="BK5" s="28">
        <f t="shared" si="1"/>
        <v>46284</v>
      </c>
      <c r="BL5" s="29">
        <f t="shared" si="1"/>
        <v>46285</v>
      </c>
    </row>
    <row r="6" ht="29.25" customHeight="1">
      <c r="A6" s="30"/>
      <c r="B6" s="31" t="s">
        <v>21</v>
      </c>
      <c r="C6" s="32" t="s">
        <v>22</v>
      </c>
      <c r="D6" s="32" t="s">
        <v>23</v>
      </c>
      <c r="E6" s="32" t="s">
        <v>24</v>
      </c>
      <c r="F6" s="32" t="s">
        <v>25</v>
      </c>
      <c r="G6" s="32"/>
      <c r="H6" s="32" t="s">
        <v>26</v>
      </c>
      <c r="I6" s="33" t="str">
        <f t="shared" ref="I6:BL6" si="2">LEFT(TEXT(I5,"ddd"),1)</f>
        <v>M</v>
      </c>
      <c r="J6" s="33" t="str">
        <f t="shared" si="2"/>
        <v>T</v>
      </c>
      <c r="K6" s="33" t="str">
        <f t="shared" si="2"/>
        <v>W</v>
      </c>
      <c r="L6" s="33" t="str">
        <f t="shared" si="2"/>
        <v>T</v>
      </c>
      <c r="M6" s="33" t="str">
        <f t="shared" si="2"/>
        <v>F</v>
      </c>
      <c r="N6" s="33" t="str">
        <f t="shared" si="2"/>
        <v>S</v>
      </c>
      <c r="O6" s="33" t="str">
        <f t="shared" si="2"/>
        <v>S</v>
      </c>
      <c r="P6" s="33" t="str">
        <f t="shared" si="2"/>
        <v>M</v>
      </c>
      <c r="Q6" s="33" t="str">
        <f t="shared" si="2"/>
        <v>T</v>
      </c>
      <c r="R6" s="33" t="str">
        <f t="shared" si="2"/>
        <v>W</v>
      </c>
      <c r="S6" s="33" t="str">
        <f t="shared" si="2"/>
        <v>T</v>
      </c>
      <c r="T6" s="33" t="str">
        <f t="shared" si="2"/>
        <v>F</v>
      </c>
      <c r="U6" s="33" t="str">
        <f t="shared" si="2"/>
        <v>S</v>
      </c>
      <c r="V6" s="33" t="str">
        <f t="shared" si="2"/>
        <v>S</v>
      </c>
      <c r="W6" s="33" t="str">
        <f t="shared" si="2"/>
        <v>M</v>
      </c>
      <c r="X6" s="33" t="str">
        <f t="shared" si="2"/>
        <v>T</v>
      </c>
      <c r="Y6" s="33" t="str">
        <f t="shared" si="2"/>
        <v>W</v>
      </c>
      <c r="Z6" s="33" t="str">
        <f t="shared" si="2"/>
        <v>T</v>
      </c>
      <c r="AA6" s="33" t="str">
        <f t="shared" si="2"/>
        <v>F</v>
      </c>
      <c r="AB6" s="33" t="str">
        <f t="shared" si="2"/>
        <v>S</v>
      </c>
      <c r="AC6" s="33" t="str">
        <f t="shared" si="2"/>
        <v>S</v>
      </c>
      <c r="AD6" s="33" t="str">
        <f t="shared" si="2"/>
        <v>M</v>
      </c>
      <c r="AE6" s="33" t="str">
        <f t="shared" si="2"/>
        <v>T</v>
      </c>
      <c r="AF6" s="33" t="str">
        <f t="shared" si="2"/>
        <v>W</v>
      </c>
      <c r="AG6" s="33" t="str">
        <f t="shared" si="2"/>
        <v>T</v>
      </c>
      <c r="AH6" s="33" t="str">
        <f t="shared" si="2"/>
        <v>F</v>
      </c>
      <c r="AI6" s="33" t="str">
        <f t="shared" si="2"/>
        <v>S</v>
      </c>
      <c r="AJ6" s="33" t="str">
        <f t="shared" si="2"/>
        <v>S</v>
      </c>
      <c r="AK6" s="33" t="str">
        <f t="shared" si="2"/>
        <v>M</v>
      </c>
      <c r="AL6" s="33" t="str">
        <f t="shared" si="2"/>
        <v>T</v>
      </c>
      <c r="AM6" s="33" t="str">
        <f t="shared" si="2"/>
        <v>W</v>
      </c>
      <c r="AN6" s="33" t="str">
        <f t="shared" si="2"/>
        <v>T</v>
      </c>
      <c r="AO6" s="33" t="str">
        <f t="shared" si="2"/>
        <v>F</v>
      </c>
      <c r="AP6" s="33" t="str">
        <f t="shared" si="2"/>
        <v>S</v>
      </c>
      <c r="AQ6" s="33" t="str">
        <f t="shared" si="2"/>
        <v>S</v>
      </c>
      <c r="AR6" s="33" t="str">
        <f t="shared" si="2"/>
        <v>M</v>
      </c>
      <c r="AS6" s="33" t="str">
        <f t="shared" si="2"/>
        <v>T</v>
      </c>
      <c r="AT6" s="33" t="str">
        <f t="shared" si="2"/>
        <v>W</v>
      </c>
      <c r="AU6" s="33" t="str">
        <f t="shared" si="2"/>
        <v>T</v>
      </c>
      <c r="AV6" s="33" t="str">
        <f t="shared" si="2"/>
        <v>F</v>
      </c>
      <c r="AW6" s="33" t="str">
        <f t="shared" si="2"/>
        <v>S</v>
      </c>
      <c r="AX6" s="33" t="str">
        <f t="shared" si="2"/>
        <v>S</v>
      </c>
      <c r="AY6" s="33" t="str">
        <f t="shared" si="2"/>
        <v>M</v>
      </c>
      <c r="AZ6" s="33" t="str">
        <f t="shared" si="2"/>
        <v>T</v>
      </c>
      <c r="BA6" s="33" t="str">
        <f t="shared" si="2"/>
        <v>W</v>
      </c>
      <c r="BB6" s="33" t="str">
        <f t="shared" si="2"/>
        <v>T</v>
      </c>
      <c r="BC6" s="33" t="str">
        <f t="shared" si="2"/>
        <v>F</v>
      </c>
      <c r="BD6" s="33" t="str">
        <f t="shared" si="2"/>
        <v>S</v>
      </c>
      <c r="BE6" s="33" t="str">
        <f t="shared" si="2"/>
        <v>S</v>
      </c>
      <c r="BF6" s="33" t="str">
        <f t="shared" si="2"/>
        <v>M</v>
      </c>
      <c r="BG6" s="33" t="str">
        <f t="shared" si="2"/>
        <v>T</v>
      </c>
      <c r="BH6" s="33" t="str">
        <f t="shared" si="2"/>
        <v>W</v>
      </c>
      <c r="BI6" s="33" t="str">
        <f t="shared" si="2"/>
        <v>T</v>
      </c>
      <c r="BJ6" s="33" t="str">
        <f t="shared" si="2"/>
        <v>F</v>
      </c>
      <c r="BK6" s="33" t="str">
        <f t="shared" si="2"/>
        <v>S</v>
      </c>
      <c r="BL6" s="33" t="str">
        <f t="shared" si="2"/>
        <v>S</v>
      </c>
    </row>
    <row r="7">
      <c r="A7" s="30"/>
      <c r="B7" s="34"/>
      <c r="C7" s="35"/>
      <c r="D7" s="36"/>
      <c r="E7" s="37"/>
      <c r="F7" s="37"/>
      <c r="G7" s="35"/>
      <c r="H7" s="35" t="str">
        <f>IF(OR(ISBLANK(ProjectSchedule!task_start),ISBLANK(ProjectSchedule!task_end)),"",ProjectSchedule!task_end-ProjectSchedule!task_start+1)</f>
        <v/>
      </c>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row>
    <row r="8">
      <c r="A8" s="30"/>
      <c r="B8" s="39" t="s">
        <v>27</v>
      </c>
      <c r="C8" s="40"/>
      <c r="D8" s="41"/>
      <c r="E8" s="42"/>
      <c r="F8" s="42"/>
      <c r="G8" s="35"/>
      <c r="H8" s="35" t="str">
        <f>IF(OR(ISBLANK(ProjectSchedule!task_start),ISBLANK(ProjectSchedule!task_end)),"",ProjectSchedule!task_end-ProjectSchedule!task_start+1)</f>
        <v/>
      </c>
      <c r="I8" s="38"/>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8"/>
      <c r="BK8" s="38"/>
      <c r="BL8" s="38"/>
    </row>
    <row r="9">
      <c r="A9" s="30"/>
      <c r="B9" s="43" t="s">
        <v>28</v>
      </c>
      <c r="C9" s="44"/>
      <c r="D9" s="45">
        <v>1.0</v>
      </c>
      <c r="E9" s="46">
        <v>46089.0</v>
      </c>
      <c r="F9" s="46">
        <v>46181.0</v>
      </c>
      <c r="G9" s="35"/>
      <c r="H9" s="35" t="str">
        <f>IF(OR(ISBLANK(ProjectSchedule!task_start),ISBLANK(ProjectSchedule!task_end)),"",ProjectSchedule!task_end-ProjectSchedule!task_start+1)</f>
        <v/>
      </c>
      <c r="I9" s="38"/>
      <c r="J9" s="38"/>
      <c r="K9" s="38"/>
      <c r="L9" s="38"/>
      <c r="M9" s="38"/>
      <c r="N9" s="38"/>
      <c r="O9" s="38"/>
      <c r="P9" s="38"/>
      <c r="Q9" s="38"/>
      <c r="R9" s="38"/>
      <c r="S9" s="38"/>
      <c r="T9" s="38"/>
      <c r="U9" s="38"/>
      <c r="V9" s="38"/>
      <c r="W9" s="38"/>
      <c r="X9" s="38"/>
      <c r="Y9" s="38"/>
      <c r="Z9" s="38"/>
      <c r="AA9" s="38"/>
      <c r="AB9" s="38"/>
      <c r="AC9" s="38"/>
      <c r="AD9" s="38"/>
      <c r="AE9" s="38"/>
      <c r="AF9" s="38"/>
      <c r="AG9" s="38"/>
      <c r="AH9" s="38"/>
      <c r="AI9" s="38"/>
      <c r="AJ9" s="38"/>
      <c r="AK9" s="38"/>
      <c r="AL9" s="38"/>
      <c r="AM9" s="38"/>
      <c r="AN9" s="38"/>
      <c r="AO9" s="38"/>
      <c r="AP9" s="38"/>
      <c r="AQ9" s="38"/>
      <c r="AR9" s="38"/>
      <c r="AS9" s="38"/>
      <c r="AT9" s="38"/>
      <c r="AU9" s="38"/>
      <c r="AV9" s="38"/>
      <c r="AW9" s="38"/>
      <c r="AX9" s="38"/>
      <c r="AY9" s="38"/>
      <c r="AZ9" s="38"/>
      <c r="BA9" s="38"/>
      <c r="BB9" s="38"/>
      <c r="BC9" s="38"/>
      <c r="BD9" s="38"/>
      <c r="BE9" s="38"/>
      <c r="BF9" s="38"/>
      <c r="BG9" s="38"/>
      <c r="BH9" s="38"/>
      <c r="BI9" s="38"/>
      <c r="BJ9" s="38"/>
      <c r="BK9" s="38"/>
      <c r="BL9" s="38"/>
    </row>
    <row r="10">
      <c r="A10" s="30"/>
      <c r="B10" s="43" t="s">
        <v>29</v>
      </c>
      <c r="C10" s="44"/>
      <c r="D10" s="45">
        <v>1.0</v>
      </c>
      <c r="E10" s="46">
        <v>46239.0</v>
      </c>
      <c r="F10" s="46">
        <v>46243.0</v>
      </c>
      <c r="G10" s="35"/>
      <c r="H10" s="35" t="str">
        <f>IF(OR(ISBLANK(ProjectSchedule!task_start),ISBLANK(ProjectSchedule!task_end)),"",ProjectSchedule!task_end-ProjectSchedule!task_start+1)</f>
        <v/>
      </c>
      <c r="I10" s="38"/>
      <c r="J10" s="38"/>
      <c r="K10" s="38"/>
      <c r="L10" s="38"/>
      <c r="M10" s="38"/>
      <c r="N10" s="38"/>
      <c r="O10" s="38"/>
      <c r="P10" s="38"/>
      <c r="Q10" s="38"/>
      <c r="R10" s="38"/>
      <c r="S10" s="38"/>
      <c r="T10" s="38"/>
      <c r="U10" s="47"/>
      <c r="V10" s="47"/>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38"/>
      <c r="BG10" s="38"/>
      <c r="BH10" s="38"/>
      <c r="BI10" s="38"/>
      <c r="BJ10" s="38"/>
      <c r="BK10" s="38"/>
      <c r="BL10" s="38"/>
    </row>
    <row r="11">
      <c r="A11" s="30"/>
      <c r="B11" s="43" t="s">
        <v>30</v>
      </c>
      <c r="C11" s="44"/>
      <c r="D11" s="45">
        <v>1.0</v>
      </c>
      <c r="E11" s="46">
        <v>46244.0</v>
      </c>
      <c r="F11" s="46">
        <v>46248.0</v>
      </c>
      <c r="G11" s="35"/>
      <c r="H11" s="35" t="str">
        <f>IF(OR(ISBLANK(ProjectSchedule!task_start),ISBLANK(ProjectSchedule!task_end)),"",ProjectSchedule!task_end-ProjectSchedule!task_start+1)</f>
        <v/>
      </c>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c r="BK11" s="38"/>
      <c r="BL11" s="38"/>
    </row>
    <row r="12">
      <c r="A12" s="30"/>
      <c r="B12" s="43" t="s">
        <v>31</v>
      </c>
      <c r="C12" s="44"/>
      <c r="D12" s="45">
        <v>1.0</v>
      </c>
      <c r="E12" s="46">
        <v>46251.0</v>
      </c>
      <c r="F12" s="46">
        <v>46257.0</v>
      </c>
      <c r="G12" s="35"/>
      <c r="H12" s="35" t="str">
        <f>IF(OR(ISBLANK(ProjectSchedule!task_start),ISBLANK(ProjectSchedule!task_end)),"",ProjectSchedule!task_end-ProjectSchedule!task_start+1)</f>
        <v/>
      </c>
      <c r="I12" s="38"/>
      <c r="J12" s="38"/>
      <c r="K12" s="38"/>
      <c r="L12" s="38"/>
      <c r="M12" s="38"/>
      <c r="N12" s="38"/>
      <c r="O12" s="38"/>
      <c r="P12" s="38"/>
      <c r="Q12" s="38"/>
      <c r="R12" s="38"/>
      <c r="S12" s="38"/>
      <c r="T12" s="38"/>
      <c r="U12" s="38"/>
      <c r="V12" s="38"/>
      <c r="W12" s="38"/>
      <c r="X12" s="38"/>
      <c r="Y12" s="47"/>
      <c r="Z12" s="38"/>
      <c r="AA12" s="38"/>
      <c r="AB12" s="38"/>
      <c r="AC12" s="38"/>
      <c r="AD12" s="38"/>
      <c r="AE12" s="38"/>
      <c r="AF12" s="38"/>
      <c r="AG12" s="38"/>
      <c r="AH12" s="38"/>
      <c r="AI12" s="38"/>
      <c r="AJ12" s="38"/>
      <c r="AK12" s="38"/>
      <c r="AL12" s="38"/>
      <c r="AM12" s="38"/>
      <c r="AN12" s="38"/>
      <c r="AO12" s="38"/>
      <c r="AP12" s="38"/>
      <c r="AQ12" s="38"/>
      <c r="AR12" s="38"/>
      <c r="AS12" s="38"/>
      <c r="AT12" s="38"/>
      <c r="AU12" s="38"/>
      <c r="AV12" s="38"/>
      <c r="AW12" s="38"/>
      <c r="AX12" s="38"/>
      <c r="AY12" s="38"/>
      <c r="AZ12" s="38"/>
      <c r="BA12" s="38"/>
      <c r="BB12" s="38"/>
      <c r="BC12" s="38"/>
      <c r="BD12" s="38"/>
      <c r="BE12" s="38"/>
      <c r="BF12" s="38"/>
      <c r="BG12" s="38"/>
      <c r="BH12" s="38"/>
      <c r="BI12" s="38"/>
      <c r="BJ12" s="38"/>
      <c r="BK12" s="38"/>
      <c r="BL12" s="38"/>
    </row>
    <row r="13">
      <c r="A13" s="30"/>
      <c r="B13" s="43" t="s">
        <v>32</v>
      </c>
      <c r="C13" s="44"/>
      <c r="D13" s="45">
        <v>1.0</v>
      </c>
      <c r="E13" s="46">
        <v>46258.0</v>
      </c>
      <c r="F13" s="46">
        <v>46262.0</v>
      </c>
      <c r="G13" s="35"/>
      <c r="H13" s="35" t="str">
        <f>IF(OR(ISBLANK(ProjectSchedule!task_start),ISBLANK(ProjectSchedule!task_end)),"",ProjectSchedule!task_end-ProjectSchedule!task_start+1)</f>
        <v/>
      </c>
      <c r="I13" s="38"/>
      <c r="J13" s="38"/>
      <c r="K13" s="38"/>
      <c r="L13" s="38"/>
      <c r="M13" s="38"/>
      <c r="N13" s="38"/>
      <c r="O13" s="38"/>
      <c r="P13" s="38"/>
      <c r="Q13" s="38"/>
      <c r="R13" s="38"/>
      <c r="S13" s="38"/>
      <c r="T13" s="38"/>
      <c r="U13" s="38"/>
      <c r="V13" s="38"/>
      <c r="W13" s="38"/>
      <c r="X13" s="38"/>
      <c r="Y13" s="38"/>
      <c r="Z13" s="38"/>
      <c r="AA13" s="38"/>
      <c r="AB13" s="38"/>
      <c r="AC13" s="38"/>
      <c r="AD13" s="38"/>
      <c r="AE13" s="38"/>
      <c r="AF13" s="38"/>
      <c r="AG13" s="38"/>
      <c r="AH13" s="38"/>
      <c r="AI13" s="38"/>
      <c r="AJ13" s="38"/>
      <c r="AK13" s="38"/>
      <c r="AL13" s="38"/>
      <c r="AM13" s="38"/>
      <c r="AN13" s="38"/>
      <c r="AO13" s="38"/>
      <c r="AP13" s="38"/>
      <c r="AQ13" s="38"/>
      <c r="AR13" s="38"/>
      <c r="AS13" s="38"/>
      <c r="AT13" s="38"/>
      <c r="AU13" s="38"/>
      <c r="AV13" s="38"/>
      <c r="AW13" s="38"/>
      <c r="AX13" s="38"/>
      <c r="AY13" s="38"/>
      <c r="AZ13" s="38"/>
      <c r="BA13" s="38"/>
      <c r="BB13" s="38"/>
      <c r="BC13" s="38"/>
      <c r="BD13" s="38"/>
      <c r="BE13" s="38"/>
      <c r="BF13" s="38"/>
      <c r="BG13" s="38"/>
      <c r="BH13" s="38"/>
      <c r="BI13" s="38"/>
      <c r="BJ13" s="38"/>
      <c r="BK13" s="38"/>
      <c r="BL13" s="38"/>
    </row>
    <row r="14">
      <c r="A14" s="30"/>
      <c r="B14" s="48" t="s">
        <v>33</v>
      </c>
      <c r="C14" s="44"/>
      <c r="D14" s="49"/>
      <c r="E14" s="50"/>
      <c r="F14" s="50"/>
      <c r="G14" s="35"/>
      <c r="H14" s="35" t="str">
        <f>IF(OR(ISBLANK(ProjectSchedule!task_start),ISBLANK(ProjectSchedule!task_end)),"",ProjectSchedule!task_end-ProjectSchedule!task_start+1)</f>
        <v/>
      </c>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c r="AH14" s="38"/>
      <c r="AI14" s="38"/>
      <c r="AJ14" s="38"/>
      <c r="AK14" s="38"/>
      <c r="AL14" s="38"/>
      <c r="AM14" s="38"/>
      <c r="AN14" s="38"/>
      <c r="AO14" s="38"/>
      <c r="AP14" s="38"/>
      <c r="AQ14" s="38"/>
      <c r="AR14" s="38"/>
      <c r="AS14" s="38"/>
      <c r="AT14" s="38"/>
      <c r="AU14" s="38"/>
      <c r="AV14" s="38"/>
      <c r="AW14" s="38"/>
      <c r="AX14" s="38"/>
      <c r="AY14" s="38"/>
      <c r="AZ14" s="38"/>
      <c r="BA14" s="38"/>
      <c r="BB14" s="38"/>
      <c r="BC14" s="38"/>
      <c r="BD14" s="38"/>
      <c r="BE14" s="38"/>
      <c r="BF14" s="38"/>
      <c r="BG14" s="38"/>
      <c r="BH14" s="38"/>
      <c r="BI14" s="38"/>
      <c r="BJ14" s="38"/>
      <c r="BK14" s="38"/>
      <c r="BL14" s="38"/>
    </row>
    <row r="15">
      <c r="A15" s="30"/>
      <c r="B15" s="51" t="s">
        <v>34</v>
      </c>
      <c r="C15" s="44"/>
      <c r="D15" s="52">
        <v>1.0</v>
      </c>
      <c r="E15" s="53">
        <v>46244.0</v>
      </c>
      <c r="F15" s="53">
        <v>46250.0</v>
      </c>
      <c r="G15" s="35"/>
      <c r="H15" s="35" t="str">
        <f>IF(OR(ISBLANK(ProjectSchedule!task_start),ISBLANK(ProjectSchedule!task_end)),"",ProjectSchedule!task_end-ProjectSchedule!task_start+1)</f>
        <v/>
      </c>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38"/>
      <c r="BB15" s="38"/>
      <c r="BC15" s="38"/>
      <c r="BD15" s="38"/>
      <c r="BE15" s="38"/>
      <c r="BF15" s="38"/>
      <c r="BG15" s="38"/>
      <c r="BH15" s="38"/>
      <c r="BI15" s="38"/>
      <c r="BJ15" s="38"/>
      <c r="BK15" s="38"/>
      <c r="BL15" s="38"/>
    </row>
    <row r="16">
      <c r="A16" s="30"/>
      <c r="B16" s="51" t="s">
        <v>35</v>
      </c>
      <c r="C16" s="44"/>
      <c r="D16" s="52">
        <v>1.0</v>
      </c>
      <c r="E16" s="53">
        <v>46253.0</v>
      </c>
      <c r="F16" s="53">
        <v>46255.0</v>
      </c>
      <c r="G16" s="35"/>
      <c r="H16" s="35" t="str">
        <f>IF(OR(ISBLANK(ProjectSchedule!task_start),ISBLANK(ProjectSchedule!task_end)),"",ProjectSchedule!task_end-ProjectSchedule!task_start+1)</f>
        <v/>
      </c>
      <c r="I16" s="38"/>
      <c r="J16" s="38"/>
      <c r="K16" s="38"/>
      <c r="L16" s="38"/>
      <c r="M16" s="38"/>
      <c r="N16" s="38"/>
      <c r="O16" s="38"/>
      <c r="P16" s="38"/>
      <c r="Q16" s="38"/>
      <c r="R16" s="38"/>
      <c r="S16" s="38"/>
      <c r="T16" s="38"/>
      <c r="U16" s="47"/>
      <c r="V16" s="47"/>
      <c r="W16" s="38"/>
      <c r="X16" s="38"/>
      <c r="Y16" s="38"/>
      <c r="Z16" s="38"/>
      <c r="AA16" s="38"/>
      <c r="AB16" s="38"/>
      <c r="AC16" s="38"/>
      <c r="AD16" s="38"/>
      <c r="AE16" s="38"/>
      <c r="AF16" s="38"/>
      <c r="AG16" s="38"/>
      <c r="AH16" s="38"/>
      <c r="AI16" s="38"/>
      <c r="AJ16" s="38"/>
      <c r="AK16" s="38"/>
      <c r="AL16" s="38"/>
      <c r="AM16" s="38"/>
      <c r="AN16" s="38"/>
      <c r="AO16" s="38"/>
      <c r="AP16" s="38"/>
      <c r="AQ16" s="38"/>
      <c r="AR16" s="38"/>
      <c r="AS16" s="38"/>
      <c r="AT16" s="38"/>
      <c r="AU16" s="38"/>
      <c r="AV16" s="38"/>
      <c r="AW16" s="38"/>
      <c r="AX16" s="38"/>
      <c r="AY16" s="38"/>
      <c r="AZ16" s="38"/>
      <c r="BA16" s="38"/>
      <c r="BB16" s="38"/>
      <c r="BC16" s="38"/>
      <c r="BD16" s="38"/>
      <c r="BE16" s="38"/>
      <c r="BF16" s="38"/>
      <c r="BG16" s="38"/>
      <c r="BH16" s="38"/>
      <c r="BI16" s="38"/>
      <c r="BJ16" s="38"/>
      <c r="BK16" s="38"/>
      <c r="BL16" s="38"/>
    </row>
    <row r="17">
      <c r="A17" s="30"/>
      <c r="B17" s="51" t="s">
        <v>36</v>
      </c>
      <c r="C17" s="44"/>
      <c r="D17" s="52">
        <v>1.0</v>
      </c>
      <c r="E17" s="53">
        <v>46258.0</v>
      </c>
      <c r="F17" s="53">
        <v>46259.0</v>
      </c>
      <c r="G17" s="35"/>
      <c r="H17" s="35" t="str">
        <f>IF(OR(ISBLANK(ProjectSchedule!task_start),ISBLANK(ProjectSchedule!task_end)),"",ProjectSchedule!task_end-ProjectSchedule!task_start+1)</f>
        <v/>
      </c>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38"/>
      <c r="BB17" s="38"/>
      <c r="BC17" s="38"/>
      <c r="BD17" s="38"/>
      <c r="BE17" s="38"/>
      <c r="BF17" s="38"/>
      <c r="BG17" s="38"/>
      <c r="BH17" s="38"/>
      <c r="BI17" s="38"/>
      <c r="BJ17" s="38"/>
      <c r="BK17" s="38"/>
      <c r="BL17" s="38"/>
    </row>
    <row r="18">
      <c r="A18" s="30"/>
      <c r="B18" s="54" t="s">
        <v>37</v>
      </c>
      <c r="C18" s="55"/>
      <c r="D18" s="52">
        <v>1.0</v>
      </c>
      <c r="E18" s="53">
        <v>46260.0</v>
      </c>
      <c r="F18" s="53">
        <v>46261.0</v>
      </c>
      <c r="G18" s="35"/>
      <c r="H18" s="35" t="str">
        <f>IF(OR(ISBLANK(ProjectSchedule!task_start),ISBLANK(ProjectSchedule!task_end)),"",ProjectSchedule!task_end-ProjectSchedule!task_start+1)</f>
        <v/>
      </c>
      <c r="I18" s="38"/>
      <c r="J18" s="38"/>
      <c r="K18" s="38"/>
      <c r="L18" s="38"/>
      <c r="M18" s="38"/>
      <c r="N18" s="38"/>
      <c r="O18" s="38"/>
      <c r="P18" s="38"/>
      <c r="Q18" s="38"/>
      <c r="R18" s="38"/>
      <c r="S18" s="38"/>
      <c r="T18" s="38"/>
      <c r="U18" s="38"/>
      <c r="V18" s="38"/>
      <c r="W18" s="38"/>
      <c r="X18" s="38"/>
      <c r="Y18" s="47"/>
      <c r="Z18" s="38"/>
      <c r="AA18" s="38"/>
      <c r="AB18" s="38"/>
      <c r="AC18" s="38"/>
      <c r="AD18" s="38"/>
      <c r="AE18" s="38"/>
      <c r="AF18" s="38"/>
      <c r="AG18" s="38"/>
      <c r="AH18" s="38"/>
      <c r="AI18" s="38"/>
      <c r="AJ18" s="38"/>
      <c r="AK18" s="38"/>
      <c r="AL18" s="38"/>
      <c r="AM18" s="38"/>
      <c r="AN18" s="38"/>
      <c r="AO18" s="38"/>
      <c r="AP18" s="38"/>
      <c r="AQ18" s="38"/>
      <c r="AR18" s="38"/>
      <c r="AS18" s="38"/>
      <c r="AT18" s="38"/>
      <c r="AU18" s="38"/>
      <c r="AV18" s="38"/>
      <c r="AW18" s="38"/>
      <c r="AX18" s="38"/>
      <c r="AY18" s="38"/>
      <c r="AZ18" s="38"/>
      <c r="BA18" s="38"/>
      <c r="BB18" s="38"/>
      <c r="BC18" s="38"/>
      <c r="BD18" s="38"/>
      <c r="BE18" s="38"/>
      <c r="BF18" s="38"/>
      <c r="BG18" s="38"/>
      <c r="BH18" s="38"/>
      <c r="BI18" s="38"/>
      <c r="BJ18" s="38"/>
      <c r="BK18" s="38"/>
      <c r="BL18" s="38"/>
    </row>
    <row r="19">
      <c r="A19" s="30"/>
      <c r="B19" s="51" t="s">
        <v>38</v>
      </c>
      <c r="C19" s="44"/>
      <c r="D19" s="52">
        <v>1.0</v>
      </c>
      <c r="E19" s="53">
        <v>46261.0</v>
      </c>
      <c r="F19" s="53">
        <v>46264.0</v>
      </c>
      <c r="G19" s="35"/>
      <c r="H19" s="35" t="str">
        <f>IF(OR(ISBLANK(ProjectSchedule!task_start),ISBLANK(ProjectSchedule!task_end)),"",ProjectSchedule!task_end-ProjectSchedule!task_start+1)</f>
        <v/>
      </c>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c r="AL19" s="38"/>
      <c r="AM19" s="38"/>
      <c r="AN19" s="38"/>
      <c r="AO19" s="38"/>
      <c r="AP19" s="38"/>
      <c r="AQ19" s="38"/>
      <c r="AR19" s="38"/>
      <c r="AS19" s="38"/>
      <c r="AT19" s="38"/>
      <c r="AU19" s="38"/>
      <c r="AV19" s="38"/>
      <c r="AW19" s="38"/>
      <c r="AX19" s="38"/>
      <c r="AY19" s="38"/>
      <c r="AZ19" s="38"/>
      <c r="BA19" s="38"/>
      <c r="BB19" s="38"/>
      <c r="BC19" s="38"/>
      <c r="BD19" s="38"/>
      <c r="BE19" s="38"/>
      <c r="BF19" s="38"/>
      <c r="BG19" s="38"/>
      <c r="BH19" s="38"/>
      <c r="BI19" s="38"/>
      <c r="BJ19" s="38"/>
      <c r="BK19" s="38"/>
      <c r="BL19" s="38"/>
    </row>
    <row r="20">
      <c r="A20" s="30"/>
      <c r="B20" s="56" t="s">
        <v>39</v>
      </c>
      <c r="C20" s="44"/>
      <c r="D20" s="57"/>
      <c r="E20" s="58"/>
      <c r="F20" s="58"/>
      <c r="G20" s="35"/>
      <c r="H20" s="35" t="str">
        <f>IF(OR(ISBLANK(ProjectSchedule!task_start),ISBLANK(ProjectSchedule!task_end)),"",ProjectSchedule!task_end-ProjectSchedule!task_start+1)</f>
        <v/>
      </c>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c r="AX20" s="38"/>
      <c r="AY20" s="38"/>
      <c r="AZ20" s="38"/>
      <c r="BA20" s="38"/>
      <c r="BB20" s="38"/>
      <c r="BC20" s="38"/>
      <c r="BD20" s="38"/>
      <c r="BE20" s="38"/>
      <c r="BF20" s="38"/>
      <c r="BG20" s="38"/>
      <c r="BH20" s="38"/>
      <c r="BI20" s="38"/>
      <c r="BJ20" s="38"/>
      <c r="BK20" s="38"/>
      <c r="BL20" s="38"/>
    </row>
    <row r="21" ht="15.75" customHeight="1">
      <c r="A21" s="30"/>
      <c r="B21" s="59" t="s">
        <v>40</v>
      </c>
      <c r="C21" s="44"/>
      <c r="D21" s="60">
        <v>1.0</v>
      </c>
      <c r="E21" s="61">
        <v>46258.0</v>
      </c>
      <c r="F21" s="61">
        <v>46260.0</v>
      </c>
      <c r="G21" s="35"/>
      <c r="H21" s="35" t="str">
        <f>IF(OR(ISBLANK(ProjectSchedule!task_start),ISBLANK(ProjectSchedule!task_end)),"",ProjectSchedule!task_end-ProjectSchedule!task_start+1)</f>
        <v/>
      </c>
      <c r="I21" s="38"/>
      <c r="J21" s="38"/>
      <c r="K21" s="38"/>
      <c r="L21" s="38"/>
      <c r="M21" s="38"/>
      <c r="N21" s="38"/>
      <c r="O21" s="38"/>
      <c r="P21" s="38"/>
      <c r="Q21" s="38"/>
      <c r="R21" s="38"/>
      <c r="S21" s="38"/>
      <c r="T21" s="38"/>
      <c r="U21" s="38"/>
      <c r="V21" s="38"/>
      <c r="W21" s="38"/>
      <c r="X21" s="38"/>
      <c r="Y21" s="38"/>
      <c r="Z21" s="38"/>
      <c r="AA21" s="38"/>
      <c r="AB21" s="38"/>
      <c r="AC21" s="38"/>
      <c r="AD21" s="38"/>
      <c r="AE21" s="38"/>
      <c r="AF21" s="38"/>
      <c r="AG21" s="38"/>
      <c r="AH21" s="38"/>
      <c r="AI21" s="38"/>
      <c r="AJ21" s="38"/>
      <c r="AK21" s="38"/>
      <c r="AL21" s="38"/>
      <c r="AM21" s="38"/>
      <c r="AN21" s="38"/>
      <c r="AO21" s="38"/>
      <c r="AP21" s="38"/>
      <c r="AQ21" s="38"/>
      <c r="AR21" s="38"/>
      <c r="AS21" s="38"/>
      <c r="AT21" s="38"/>
      <c r="AU21" s="38"/>
      <c r="AV21" s="38"/>
      <c r="AW21" s="38"/>
      <c r="AX21" s="38"/>
      <c r="AY21" s="38"/>
      <c r="AZ21" s="38"/>
      <c r="BA21" s="38"/>
      <c r="BB21" s="38"/>
      <c r="BC21" s="38"/>
      <c r="BD21" s="38"/>
      <c r="BE21" s="38"/>
      <c r="BF21" s="38"/>
      <c r="BG21" s="38"/>
      <c r="BH21" s="38"/>
      <c r="BI21" s="38"/>
      <c r="BJ21" s="38"/>
      <c r="BK21" s="38"/>
      <c r="BL21" s="38"/>
    </row>
    <row r="22" ht="15.75" customHeight="1">
      <c r="A22" s="30"/>
      <c r="B22" s="59" t="s">
        <v>41</v>
      </c>
      <c r="C22" s="44"/>
      <c r="D22" s="60">
        <v>0.8</v>
      </c>
      <c r="E22" s="61">
        <v>46265.0</v>
      </c>
      <c r="F22" s="61">
        <v>46267.0</v>
      </c>
      <c r="G22" s="35"/>
      <c r="H22" s="35" t="str">
        <f>IF(OR(ISBLANK(ProjectSchedule!task_start),ISBLANK(ProjectSchedule!task_end)),"",ProjectSchedule!task_end-ProjectSchedule!task_start+1)</f>
        <v/>
      </c>
      <c r="I22" s="38"/>
      <c r="J22" s="38"/>
      <c r="K22" s="38"/>
      <c r="L22" s="38"/>
      <c r="M22" s="38"/>
      <c r="N22" s="38"/>
      <c r="O22" s="38"/>
      <c r="P22" s="38"/>
      <c r="Q22" s="38"/>
      <c r="R22" s="38"/>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38"/>
      <c r="AW22" s="38"/>
      <c r="AX22" s="38"/>
      <c r="AY22" s="38"/>
      <c r="AZ22" s="38"/>
      <c r="BA22" s="38"/>
      <c r="BB22" s="38"/>
      <c r="BC22" s="38"/>
      <c r="BD22" s="38"/>
      <c r="BE22" s="38"/>
      <c r="BF22" s="38"/>
      <c r="BG22" s="38"/>
      <c r="BH22" s="38"/>
      <c r="BI22" s="38"/>
      <c r="BJ22" s="38"/>
      <c r="BK22" s="38"/>
      <c r="BL22" s="38"/>
    </row>
    <row r="23" ht="15.75" customHeight="1">
      <c r="A23" s="30"/>
      <c r="B23" s="59" t="s">
        <v>42</v>
      </c>
      <c r="C23" s="44"/>
      <c r="D23" s="60">
        <v>1.0</v>
      </c>
      <c r="E23" s="61">
        <v>46267.0</v>
      </c>
      <c r="F23" s="61">
        <v>46269.0</v>
      </c>
      <c r="G23" s="35"/>
      <c r="H23" s="35" t="str">
        <f>IF(OR(ISBLANK(ProjectSchedule!task_start),ISBLANK(ProjectSchedule!task_end)),"",ProjectSchedule!task_end-ProjectSchedule!task_start+1)</f>
        <v/>
      </c>
      <c r="I23" s="38"/>
      <c r="J23" s="38"/>
      <c r="K23" s="38"/>
      <c r="L23" s="38"/>
      <c r="M23" s="38"/>
      <c r="N23" s="38"/>
      <c r="O23" s="38"/>
      <c r="P23" s="38"/>
      <c r="Q23" s="38"/>
      <c r="R23" s="38"/>
      <c r="S23" s="38"/>
      <c r="T23" s="38"/>
      <c r="U23" s="38"/>
      <c r="V23" s="38"/>
      <c r="W23" s="38"/>
      <c r="X23" s="38"/>
      <c r="Y23" s="38"/>
      <c r="Z23" s="38"/>
      <c r="AA23" s="38"/>
      <c r="AB23" s="38"/>
      <c r="AC23" s="38"/>
      <c r="AD23" s="38"/>
      <c r="AE23" s="38"/>
      <c r="AF23" s="38"/>
      <c r="AG23" s="38"/>
      <c r="AH23" s="38"/>
      <c r="AI23" s="38"/>
      <c r="AJ23" s="38"/>
      <c r="AK23" s="38"/>
      <c r="AL23" s="38"/>
      <c r="AM23" s="38"/>
      <c r="AN23" s="38"/>
      <c r="AO23" s="38"/>
      <c r="AP23" s="38"/>
      <c r="AQ23" s="38"/>
      <c r="AR23" s="38"/>
      <c r="AS23" s="38"/>
      <c r="AT23" s="38"/>
      <c r="AU23" s="38"/>
      <c r="AV23" s="38"/>
      <c r="AW23" s="38"/>
      <c r="AX23" s="38"/>
      <c r="AY23" s="38"/>
      <c r="AZ23" s="38"/>
      <c r="BA23" s="38"/>
      <c r="BB23" s="38"/>
      <c r="BC23" s="38"/>
      <c r="BD23" s="38"/>
      <c r="BE23" s="38"/>
      <c r="BF23" s="38"/>
      <c r="BG23" s="38"/>
      <c r="BH23" s="38"/>
      <c r="BI23" s="38"/>
      <c r="BJ23" s="38"/>
      <c r="BK23" s="38"/>
      <c r="BL23" s="38"/>
    </row>
    <row r="24" ht="15.75" customHeight="1">
      <c r="A24" s="30"/>
      <c r="B24" s="59" t="s">
        <v>43</v>
      </c>
      <c r="C24" s="44"/>
      <c r="D24" s="60">
        <v>1.0</v>
      </c>
      <c r="E24" s="61">
        <v>46269.0</v>
      </c>
      <c r="F24" s="61">
        <v>46270.0</v>
      </c>
      <c r="G24" s="35"/>
      <c r="H24" s="35" t="str">
        <f>IF(OR(ISBLANK(ProjectSchedule!task_start),ISBLANK(ProjectSchedule!task_end)),"",ProjectSchedule!task_end-ProjectSchedule!task_start+1)</f>
        <v/>
      </c>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8"/>
      <c r="AS24" s="38"/>
      <c r="AT24" s="38"/>
      <c r="AU24" s="38"/>
      <c r="AV24" s="38"/>
      <c r="AW24" s="38"/>
      <c r="AX24" s="38"/>
      <c r="AY24" s="38"/>
      <c r="AZ24" s="38"/>
      <c r="BA24" s="38"/>
      <c r="BB24" s="38"/>
      <c r="BC24" s="38"/>
      <c r="BD24" s="38"/>
      <c r="BE24" s="38"/>
      <c r="BF24" s="38"/>
      <c r="BG24" s="38"/>
      <c r="BH24" s="38"/>
      <c r="BI24" s="38"/>
      <c r="BJ24" s="38"/>
      <c r="BK24" s="38"/>
      <c r="BL24" s="38"/>
    </row>
    <row r="25" ht="15.75" customHeight="1">
      <c r="A25" s="30"/>
      <c r="B25" s="59" t="s">
        <v>44</v>
      </c>
      <c r="C25" s="44"/>
      <c r="D25" s="60">
        <v>0.8</v>
      </c>
      <c r="E25" s="61">
        <v>46270.0</v>
      </c>
      <c r="F25" s="61">
        <v>46271.0</v>
      </c>
      <c r="G25" s="35"/>
      <c r="H25" s="35" t="str">
        <f>IF(OR(ISBLANK(ProjectSchedule!task_start),ISBLANK(ProjectSchedule!task_end)),"",ProjectSchedule!task_end-ProjectSchedule!task_start+1)</f>
        <v/>
      </c>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38"/>
      <c r="AY25" s="38"/>
      <c r="AZ25" s="38"/>
      <c r="BA25" s="38"/>
      <c r="BB25" s="38"/>
      <c r="BC25" s="38"/>
      <c r="BD25" s="38"/>
      <c r="BE25" s="38"/>
      <c r="BF25" s="38"/>
      <c r="BG25" s="38"/>
      <c r="BH25" s="38"/>
      <c r="BI25" s="38"/>
      <c r="BJ25" s="38"/>
      <c r="BK25" s="38"/>
      <c r="BL25" s="38"/>
    </row>
    <row r="26" ht="15.75" customHeight="1">
      <c r="A26" s="30"/>
      <c r="B26" s="62" t="s">
        <v>45</v>
      </c>
      <c r="C26" s="63"/>
      <c r="D26" s="64"/>
      <c r="E26" s="65"/>
      <c r="F26" s="65"/>
      <c r="G26" s="35"/>
      <c r="H26" s="35" t="str">
        <f>IF(OR(ISBLANK(ProjectSchedule!task_start),ISBLANK(ProjectSchedule!task_end)),"",ProjectSchedule!task_end-ProjectSchedule!task_start+1)</f>
        <v/>
      </c>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38"/>
      <c r="AY26" s="38"/>
      <c r="AZ26" s="38"/>
      <c r="BA26" s="38"/>
      <c r="BB26" s="38"/>
      <c r="BC26" s="38"/>
      <c r="BD26" s="38"/>
      <c r="BE26" s="38"/>
      <c r="BF26" s="38"/>
      <c r="BG26" s="38"/>
      <c r="BH26" s="38"/>
      <c r="BI26" s="38"/>
      <c r="BJ26" s="38"/>
      <c r="BK26" s="38"/>
      <c r="BL26" s="38"/>
    </row>
    <row r="27" ht="15.75" customHeight="1">
      <c r="A27" s="30"/>
      <c r="B27" s="66" t="s">
        <v>46</v>
      </c>
      <c r="C27" s="67"/>
      <c r="D27" s="68"/>
      <c r="E27" s="69">
        <v>43494.0</v>
      </c>
      <c r="F27" s="69">
        <v>43499.0</v>
      </c>
      <c r="G27" s="35"/>
      <c r="H27" s="35" t="str">
        <f>IF(OR(ISBLANK(ProjectSchedule!task_start),ISBLANK(ProjectSchedule!task_end)),"",ProjectSchedule!task_end-ProjectSchedule!task_start+1)</f>
        <v/>
      </c>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38"/>
      <c r="AY27" s="38"/>
      <c r="AZ27" s="38"/>
      <c r="BA27" s="38"/>
      <c r="BB27" s="38"/>
      <c r="BC27" s="38"/>
      <c r="BD27" s="38"/>
      <c r="BE27" s="38"/>
      <c r="BF27" s="38"/>
      <c r="BG27" s="38"/>
      <c r="BH27" s="38"/>
      <c r="BI27" s="38"/>
      <c r="BJ27" s="38"/>
      <c r="BK27" s="38"/>
      <c r="BL27" s="38"/>
    </row>
    <row r="28" ht="15.75" customHeight="1">
      <c r="A28" s="30"/>
      <c r="B28" s="66" t="s">
        <v>47</v>
      </c>
      <c r="C28" s="67"/>
      <c r="D28" s="68"/>
      <c r="E28" s="69">
        <v>43494.0</v>
      </c>
      <c r="F28" s="69">
        <v>43498.0</v>
      </c>
      <c r="G28" s="35"/>
      <c r="H28" s="35" t="str">
        <f>IF(OR(ISBLANK(ProjectSchedule!task_start),ISBLANK(ProjectSchedule!task_end)),"",ProjectSchedule!task_end-ProjectSchedule!task_start+1)</f>
        <v/>
      </c>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38"/>
      <c r="AY28" s="38"/>
      <c r="AZ28" s="38"/>
      <c r="BA28" s="38"/>
      <c r="BB28" s="38"/>
      <c r="BC28" s="38"/>
      <c r="BD28" s="38"/>
      <c r="BE28" s="38"/>
      <c r="BF28" s="38"/>
      <c r="BG28" s="38"/>
      <c r="BH28" s="38"/>
      <c r="BI28" s="38"/>
      <c r="BJ28" s="38"/>
      <c r="BK28" s="38"/>
      <c r="BL28" s="38"/>
    </row>
    <row r="29" ht="15.75" customHeight="1">
      <c r="A29" s="30"/>
      <c r="B29" s="66" t="s">
        <v>48</v>
      </c>
      <c r="C29" s="67"/>
      <c r="D29" s="68"/>
      <c r="E29" s="69">
        <v>43499.0</v>
      </c>
      <c r="F29" s="69">
        <v>43502.0</v>
      </c>
      <c r="G29" s="35"/>
      <c r="H29" s="35" t="str">
        <f>IF(OR(ISBLANK(ProjectSchedule!task_start),ISBLANK(ProjectSchedule!task_end)),"",ProjectSchedule!task_end-ProjectSchedule!task_start+1)</f>
        <v/>
      </c>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38"/>
      <c r="AY29" s="38"/>
      <c r="AZ29" s="38"/>
      <c r="BA29" s="38"/>
      <c r="BB29" s="38"/>
      <c r="BC29" s="38"/>
      <c r="BD29" s="38"/>
      <c r="BE29" s="38"/>
      <c r="BF29" s="38"/>
      <c r="BG29" s="38"/>
      <c r="BH29" s="38"/>
      <c r="BI29" s="38"/>
      <c r="BJ29" s="38"/>
      <c r="BK29" s="38"/>
      <c r="BL29" s="38"/>
    </row>
    <row r="30" ht="15.75" customHeight="1">
      <c r="A30" s="30"/>
      <c r="B30" s="66" t="s">
        <v>49</v>
      </c>
      <c r="C30" s="67"/>
      <c r="D30" s="68"/>
      <c r="E30" s="69">
        <v>43499.0</v>
      </c>
      <c r="F30" s="69">
        <v>43502.0</v>
      </c>
      <c r="G30" s="35"/>
      <c r="H30" s="35" t="str">
        <f>IF(OR(ISBLANK(ProjectSchedule!task_start),ISBLANK(ProjectSchedule!task_end)),"",ProjectSchedule!task_end-ProjectSchedule!task_start+1)</f>
        <v/>
      </c>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38"/>
      <c r="AY30" s="38"/>
      <c r="AZ30" s="38"/>
      <c r="BA30" s="38"/>
      <c r="BB30" s="38"/>
      <c r="BC30" s="38"/>
      <c r="BD30" s="38"/>
      <c r="BE30" s="38"/>
      <c r="BF30" s="38"/>
      <c r="BG30" s="38"/>
      <c r="BH30" s="38"/>
      <c r="BI30" s="38"/>
      <c r="BJ30" s="38"/>
      <c r="BK30" s="38"/>
      <c r="BL30" s="38"/>
    </row>
    <row r="31" ht="15.75" customHeight="1">
      <c r="A31" s="30"/>
      <c r="B31" s="66" t="s">
        <v>50</v>
      </c>
      <c r="C31" s="67"/>
      <c r="D31" s="68"/>
      <c r="E31" s="69">
        <v>43503.0</v>
      </c>
      <c r="F31" s="69">
        <v>43507.0</v>
      </c>
      <c r="G31" s="35"/>
      <c r="H31" s="35" t="str">
        <f>IF(OR(ISBLANK(ProjectSchedule!task_start),ISBLANK(ProjectSchedule!task_end)),"",ProjectSchedule!task_end-ProjectSchedule!task_start+1)</f>
        <v/>
      </c>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38"/>
      <c r="AY31" s="38"/>
      <c r="AZ31" s="38"/>
      <c r="BA31" s="38"/>
      <c r="BB31" s="38"/>
      <c r="BC31" s="38"/>
      <c r="BD31" s="38"/>
      <c r="BE31" s="38"/>
      <c r="BF31" s="38"/>
      <c r="BG31" s="38"/>
      <c r="BH31" s="38"/>
      <c r="BI31" s="38"/>
      <c r="BJ31" s="38"/>
      <c r="BK31" s="38"/>
      <c r="BL31" s="38"/>
    </row>
    <row r="32" ht="15.75" customHeight="1">
      <c r="A32" s="30"/>
      <c r="B32" s="70" t="s">
        <v>51</v>
      </c>
      <c r="C32" s="71"/>
      <c r="D32" s="72"/>
      <c r="E32" s="73"/>
      <c r="F32" s="73"/>
      <c r="G32" s="35"/>
      <c r="H32" s="35" t="str">
        <f>IF(OR(ISBLANK(ProjectSchedule!task_start),ISBLANK(ProjectSchedule!task_end)),"",ProjectSchedule!task_end-ProjectSchedule!task_start+1)</f>
        <v/>
      </c>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38"/>
      <c r="AY32" s="38"/>
      <c r="AZ32" s="38"/>
      <c r="BA32" s="38"/>
      <c r="BB32" s="38"/>
      <c r="BC32" s="38"/>
      <c r="BD32" s="38"/>
      <c r="BE32" s="38"/>
      <c r="BF32" s="38"/>
      <c r="BG32" s="38"/>
      <c r="BH32" s="38"/>
      <c r="BI32" s="38"/>
      <c r="BJ32" s="38"/>
      <c r="BK32" s="38"/>
      <c r="BL32" s="38"/>
    </row>
    <row r="33" ht="15.75" customHeight="1">
      <c r="A33" s="30"/>
      <c r="B33" s="74" t="s">
        <v>46</v>
      </c>
      <c r="C33" s="75"/>
      <c r="D33" s="76"/>
      <c r="E33" s="77">
        <v>43501.0</v>
      </c>
      <c r="F33" s="77">
        <v>43506.0</v>
      </c>
      <c r="G33" s="35"/>
      <c r="H33" s="35" t="str">
        <f>IF(OR(ISBLANK(ProjectSchedule!task_start),ISBLANK(ProjectSchedule!task_end)),"",ProjectSchedule!task_end-ProjectSchedule!task_start+1)</f>
        <v/>
      </c>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38"/>
      <c r="AY33" s="38"/>
      <c r="AZ33" s="38"/>
      <c r="BA33" s="38"/>
      <c r="BB33" s="38"/>
      <c r="BC33" s="38"/>
      <c r="BD33" s="38"/>
      <c r="BE33" s="38"/>
      <c r="BF33" s="38"/>
      <c r="BG33" s="38"/>
      <c r="BH33" s="38"/>
      <c r="BI33" s="38"/>
      <c r="BJ33" s="38"/>
      <c r="BK33" s="38"/>
      <c r="BL33" s="38"/>
    </row>
    <row r="34" ht="15.75" customHeight="1">
      <c r="A34" s="30"/>
      <c r="B34" s="74" t="s">
        <v>47</v>
      </c>
      <c r="C34" s="75"/>
      <c r="D34" s="76"/>
      <c r="E34" s="77">
        <v>43501.0</v>
      </c>
      <c r="F34" s="77">
        <v>43503.0</v>
      </c>
      <c r="G34" s="35"/>
      <c r="H34" s="35" t="str">
        <f>IF(OR(ISBLANK(ProjectSchedule!task_start),ISBLANK(ProjectSchedule!task_end)),"",ProjectSchedule!task_end-ProjectSchedule!task_start+1)</f>
        <v/>
      </c>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38"/>
      <c r="AY34" s="38"/>
      <c r="AZ34" s="38"/>
      <c r="BA34" s="38"/>
      <c r="BB34" s="38"/>
      <c r="BC34" s="38"/>
      <c r="BD34" s="38"/>
      <c r="BE34" s="38"/>
      <c r="BF34" s="38"/>
      <c r="BG34" s="38"/>
      <c r="BH34" s="38"/>
      <c r="BI34" s="38"/>
      <c r="BJ34" s="38"/>
      <c r="BK34" s="38"/>
      <c r="BL34" s="38"/>
    </row>
    <row r="35" ht="15.75" customHeight="1">
      <c r="A35" s="30"/>
      <c r="B35" s="74" t="s">
        <v>48</v>
      </c>
      <c r="C35" s="75"/>
      <c r="D35" s="76"/>
      <c r="E35" s="77">
        <v>43504.0</v>
      </c>
      <c r="F35" s="77">
        <v>43509.0</v>
      </c>
      <c r="G35" s="35"/>
      <c r="H35" s="35" t="str">
        <f>IF(OR(ISBLANK(ProjectSchedule!task_start),ISBLANK(ProjectSchedule!task_end)),"",ProjectSchedule!task_end-ProjectSchedule!task_start+1)</f>
        <v/>
      </c>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38"/>
      <c r="AY35" s="38"/>
      <c r="AZ35" s="38"/>
      <c r="BA35" s="38"/>
      <c r="BB35" s="38"/>
      <c r="BC35" s="38"/>
      <c r="BD35" s="38"/>
      <c r="BE35" s="38"/>
      <c r="BF35" s="38"/>
      <c r="BG35" s="38"/>
      <c r="BH35" s="38"/>
      <c r="BI35" s="38"/>
      <c r="BJ35" s="38"/>
      <c r="BK35" s="38"/>
      <c r="BL35" s="38"/>
    </row>
    <row r="36" ht="15.75" customHeight="1">
      <c r="A36" s="30"/>
      <c r="B36" s="74" t="s">
        <v>49</v>
      </c>
      <c r="C36" s="75"/>
      <c r="D36" s="76"/>
      <c r="E36" s="77">
        <v>43504.0</v>
      </c>
      <c r="F36" s="77">
        <v>43509.0</v>
      </c>
      <c r="G36" s="35"/>
      <c r="H36" s="35" t="str">
        <f>IF(OR(ISBLANK(ProjectSchedule!task_start),ISBLANK(ProjectSchedule!task_end)),"",ProjectSchedule!task_end-ProjectSchedule!task_start+1)</f>
        <v/>
      </c>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38"/>
      <c r="AY36" s="38"/>
      <c r="AZ36" s="38"/>
      <c r="BA36" s="38"/>
      <c r="BB36" s="38"/>
      <c r="BC36" s="38"/>
      <c r="BD36" s="38"/>
      <c r="BE36" s="38"/>
      <c r="BF36" s="38"/>
      <c r="BG36" s="38"/>
      <c r="BH36" s="38"/>
      <c r="BI36" s="38"/>
      <c r="BJ36" s="38"/>
      <c r="BK36" s="38"/>
      <c r="BL36" s="38"/>
    </row>
    <row r="37" ht="15.75" customHeight="1">
      <c r="A37" s="30"/>
      <c r="B37" s="74" t="s">
        <v>50</v>
      </c>
      <c r="C37" s="75"/>
      <c r="D37" s="76"/>
      <c r="E37" s="77">
        <v>43504.0</v>
      </c>
      <c r="F37" s="77">
        <v>43508.0</v>
      </c>
      <c r="G37" s="35"/>
      <c r="H37" s="35" t="str">
        <f>IF(OR(ISBLANK(ProjectSchedule!task_start),ISBLANK(ProjectSchedule!task_end)),"",ProjectSchedule!task_end-ProjectSchedule!task_start+1)</f>
        <v/>
      </c>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F37" s="38"/>
      <c r="BG37" s="38"/>
      <c r="BH37" s="38"/>
      <c r="BI37" s="38"/>
      <c r="BJ37" s="38"/>
      <c r="BK37" s="38"/>
      <c r="BL37" s="38"/>
    </row>
    <row r="38" ht="15.75" customHeight="1">
      <c r="A38" s="30"/>
      <c r="B38" s="34"/>
      <c r="C38" s="35"/>
      <c r="D38" s="36"/>
      <c r="E38" s="37"/>
      <c r="F38" s="37"/>
      <c r="G38" s="35"/>
      <c r="H38" s="35" t="str">
        <f>IF(OR(ISBLANK(ProjectSchedule!task_start),ISBLANK(ProjectSchedule!task_end)),"",ProjectSchedule!task_end-ProjectSchedule!task_start+1)</f>
        <v/>
      </c>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38"/>
      <c r="AY38" s="38"/>
      <c r="AZ38" s="38"/>
      <c r="BA38" s="38"/>
      <c r="BB38" s="38"/>
      <c r="BC38" s="38"/>
      <c r="BD38" s="38"/>
      <c r="BE38" s="38"/>
      <c r="BF38" s="38"/>
      <c r="BG38" s="38"/>
      <c r="BH38" s="38"/>
      <c r="BI38" s="38"/>
      <c r="BJ38" s="38"/>
      <c r="BK38" s="38"/>
      <c r="BL38" s="38"/>
    </row>
    <row r="39" ht="15.75" customHeight="1">
      <c r="A39" s="30"/>
      <c r="B39" s="34"/>
      <c r="C39" s="35"/>
      <c r="D39" s="36"/>
      <c r="E39" s="37"/>
      <c r="F39" s="37"/>
      <c r="G39" s="35"/>
      <c r="H39" s="35" t="str">
        <f>IF(OR(ISBLANK(ProjectSchedule!task_start),ISBLANK(ProjectSchedule!task_end)),"",ProjectSchedule!task_end-ProjectSchedule!task_start+1)</f>
        <v/>
      </c>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38"/>
      <c r="AY39" s="38"/>
      <c r="AZ39" s="38"/>
      <c r="BA39" s="38"/>
      <c r="BB39" s="38"/>
      <c r="BC39" s="38"/>
      <c r="BD39" s="38"/>
      <c r="BE39" s="38"/>
      <c r="BF39" s="38"/>
      <c r="BG39" s="38"/>
      <c r="BH39" s="38"/>
      <c r="BI39" s="38"/>
      <c r="BJ39" s="38"/>
      <c r="BK39" s="38"/>
      <c r="BL39" s="38"/>
    </row>
    <row r="40" ht="15.75" customHeight="1">
      <c r="A40" s="30"/>
      <c r="B40" s="34"/>
      <c r="C40" s="35"/>
      <c r="D40" s="36"/>
      <c r="E40" s="37"/>
      <c r="F40" s="37"/>
      <c r="G40" s="35"/>
      <c r="H40" s="35" t="str">
        <f>IF(OR(ISBLANK(ProjectSchedule!task_start),ISBLANK(ProjectSchedule!task_end)),"",ProjectSchedule!task_end-ProjectSchedule!task_start+1)</f>
        <v/>
      </c>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38"/>
      <c r="AY40" s="38"/>
      <c r="AZ40" s="38"/>
      <c r="BA40" s="38"/>
      <c r="BB40" s="38"/>
      <c r="BC40" s="38"/>
      <c r="BD40" s="38"/>
      <c r="BE40" s="38"/>
      <c r="BF40" s="38"/>
      <c r="BG40" s="38"/>
      <c r="BH40" s="38"/>
      <c r="BI40" s="38"/>
      <c r="BJ40" s="38"/>
      <c r="BK40" s="38"/>
      <c r="BL40" s="38"/>
    </row>
    <row r="41" ht="15.75" customHeight="1">
      <c r="A41" s="30"/>
      <c r="B41" s="78" t="s">
        <v>52</v>
      </c>
      <c r="C41" s="79"/>
      <c r="D41" s="80"/>
      <c r="E41" s="81"/>
      <c r="F41" s="82"/>
      <c r="G41" s="83"/>
      <c r="H41" s="83" t="str">
        <f>IF(OR(ISBLANK(ProjectSchedule!task_start),ISBLANK(ProjectSchedule!task_end)),"",ProjectSchedule!task_end-ProjectSchedule!task_start+1)</f>
        <v/>
      </c>
      <c r="I41" s="84"/>
      <c r="J41" s="84"/>
      <c r="K41" s="84"/>
      <c r="L41" s="84"/>
      <c r="M41" s="84"/>
      <c r="N41" s="84"/>
      <c r="O41" s="84"/>
      <c r="P41" s="84"/>
      <c r="Q41" s="84"/>
      <c r="R41" s="84"/>
      <c r="S41" s="84"/>
      <c r="T41" s="84"/>
      <c r="U41" s="84"/>
      <c r="V41" s="84"/>
      <c r="W41" s="84"/>
      <c r="X41" s="84"/>
      <c r="Y41" s="84"/>
      <c r="Z41" s="84"/>
      <c r="AA41" s="84"/>
      <c r="AB41" s="84"/>
      <c r="AC41" s="84"/>
      <c r="AD41" s="84"/>
      <c r="AE41" s="84"/>
      <c r="AF41" s="84"/>
      <c r="AG41" s="84"/>
      <c r="AH41" s="84"/>
      <c r="AI41" s="84"/>
      <c r="AJ41" s="84"/>
      <c r="AK41" s="84"/>
      <c r="AL41" s="84"/>
      <c r="AM41" s="84"/>
      <c r="AN41" s="84"/>
      <c r="AO41" s="84"/>
      <c r="AP41" s="84"/>
      <c r="AQ41" s="84"/>
      <c r="AR41" s="84"/>
      <c r="AS41" s="84"/>
      <c r="AT41" s="84"/>
      <c r="AU41" s="84"/>
      <c r="AV41" s="84"/>
      <c r="AW41" s="84"/>
      <c r="AX41" s="84"/>
      <c r="AY41" s="84"/>
      <c r="AZ41" s="84"/>
      <c r="BA41" s="84"/>
      <c r="BB41" s="84"/>
      <c r="BC41" s="84"/>
      <c r="BD41" s="84"/>
      <c r="BE41" s="84"/>
      <c r="BF41" s="84"/>
      <c r="BG41" s="84"/>
      <c r="BH41" s="84"/>
      <c r="BI41" s="84"/>
      <c r="BJ41" s="84"/>
      <c r="BK41" s="84"/>
      <c r="BL41" s="84"/>
    </row>
    <row r="42" ht="15.75" customHeight="1">
      <c r="A42" s="7"/>
      <c r="E42" s="26"/>
      <c r="G42" s="7"/>
    </row>
    <row r="43" ht="15.75" customHeight="1">
      <c r="B43" s="85" t="s">
        <v>1</v>
      </c>
      <c r="C43" s="86"/>
      <c r="E43" s="26"/>
      <c r="F43" s="87">
        <v>43113.0</v>
      </c>
    </row>
    <row r="44" ht="15.75" customHeight="1">
      <c r="B44" s="88" t="s">
        <v>8</v>
      </c>
      <c r="C44" s="89"/>
      <c r="E44" s="26"/>
    </row>
    <row r="45" ht="15.75" customHeight="1">
      <c r="B45" s="90" t="s">
        <v>9</v>
      </c>
      <c r="E45" s="26"/>
    </row>
    <row r="46" ht="15.75" customHeight="1">
      <c r="E46" s="26"/>
    </row>
    <row r="47" ht="15.75" customHeight="1">
      <c r="E47" s="26"/>
    </row>
    <row r="48" ht="15.75" customHeight="1">
      <c r="E48" s="26"/>
    </row>
    <row r="49" ht="15.75" customHeight="1">
      <c r="E49" s="26"/>
    </row>
    <row r="50" ht="15.75" customHeight="1">
      <c r="E50" s="26"/>
    </row>
    <row r="51" ht="15.75" customHeight="1">
      <c r="E51" s="26"/>
    </row>
    <row r="52" ht="15.75" customHeight="1">
      <c r="E52" s="26"/>
    </row>
    <row r="53" ht="15.75" customHeight="1">
      <c r="E53" s="26"/>
    </row>
    <row r="54" ht="15.75" customHeight="1">
      <c r="E54" s="26"/>
    </row>
    <row r="55" ht="15.75" customHeight="1">
      <c r="E55" s="26"/>
    </row>
    <row r="56" ht="15.75" customHeight="1">
      <c r="E56" s="26"/>
    </row>
    <row r="57" ht="15.75" customHeight="1">
      <c r="E57" s="26"/>
    </row>
    <row r="58" ht="15.75" customHeight="1">
      <c r="E58" s="26"/>
    </row>
    <row r="59" ht="15.75" customHeight="1">
      <c r="E59" s="26"/>
    </row>
    <row r="60" ht="15.75" customHeight="1">
      <c r="E60" s="26"/>
    </row>
    <row r="61" ht="15.75" customHeight="1">
      <c r="E61" s="26"/>
    </row>
    <row r="62" ht="15.75" customHeight="1">
      <c r="E62" s="26"/>
    </row>
    <row r="63" ht="15.75" customHeight="1">
      <c r="E63" s="26"/>
    </row>
    <row r="64" ht="15.75" customHeight="1">
      <c r="E64" s="26"/>
    </row>
    <row r="65" ht="15.75" customHeight="1">
      <c r="E65" s="26"/>
    </row>
    <row r="66" ht="15.75" customHeight="1">
      <c r="E66" s="26"/>
    </row>
    <row r="67" ht="15.75" customHeight="1">
      <c r="E67" s="26"/>
    </row>
    <row r="68" ht="15.75" customHeight="1">
      <c r="E68" s="26"/>
    </row>
    <row r="69" ht="15.75" customHeight="1">
      <c r="E69" s="26"/>
    </row>
    <row r="70" ht="15.75" customHeight="1">
      <c r="E70" s="26"/>
    </row>
    <row r="71" ht="15.75" customHeight="1">
      <c r="E71" s="26"/>
    </row>
    <row r="72" ht="15.75" customHeight="1">
      <c r="E72" s="26"/>
    </row>
    <row r="73" ht="15.75" customHeight="1">
      <c r="E73" s="26"/>
    </row>
    <row r="74" ht="15.75" customHeight="1">
      <c r="E74" s="26"/>
    </row>
    <row r="75" ht="15.75" customHeight="1">
      <c r="E75" s="26"/>
    </row>
    <row r="76" ht="15.75" customHeight="1">
      <c r="E76" s="26"/>
    </row>
    <row r="77" ht="15.75" customHeight="1">
      <c r="E77" s="26"/>
    </row>
    <row r="78" ht="15.75" customHeight="1">
      <c r="E78" s="26"/>
    </row>
    <row r="79" ht="15.75" customHeight="1">
      <c r="E79" s="26"/>
    </row>
    <row r="80" ht="15.75" customHeight="1">
      <c r="E80" s="26"/>
    </row>
    <row r="81" ht="15.75" customHeight="1">
      <c r="E81" s="26"/>
    </row>
    <row r="82" ht="15.75" customHeight="1">
      <c r="E82" s="26"/>
    </row>
    <row r="83" ht="15.75" customHeight="1">
      <c r="E83" s="26"/>
    </row>
    <row r="84" ht="15.75" customHeight="1">
      <c r="E84" s="26"/>
    </row>
    <row r="85" ht="15.75" customHeight="1">
      <c r="E85" s="26"/>
    </row>
    <row r="86" ht="15.75" customHeight="1">
      <c r="E86" s="26"/>
    </row>
    <row r="87" ht="15.75" customHeight="1">
      <c r="E87" s="26"/>
    </row>
    <row r="88" ht="15.75" customHeight="1">
      <c r="E88" s="26"/>
    </row>
    <row r="89" ht="15.75" customHeight="1">
      <c r="E89" s="26"/>
    </row>
    <row r="90" ht="15.75" customHeight="1">
      <c r="E90" s="26"/>
    </row>
    <row r="91" ht="15.75" customHeight="1">
      <c r="E91" s="26"/>
    </row>
    <row r="92" ht="15.75" customHeight="1">
      <c r="E92" s="26"/>
    </row>
    <row r="93" ht="15.75" customHeight="1">
      <c r="E93" s="26"/>
    </row>
    <row r="94" ht="15.75" customHeight="1">
      <c r="E94" s="26"/>
    </row>
    <row r="95" ht="15.75" customHeight="1">
      <c r="E95" s="26"/>
    </row>
    <row r="96" ht="15.75" customHeight="1">
      <c r="E96" s="26"/>
    </row>
    <row r="97" ht="15.75" customHeight="1">
      <c r="E97" s="26"/>
    </row>
    <row r="98" ht="15.75" customHeight="1">
      <c r="E98" s="26"/>
    </row>
    <row r="99" ht="15.75" customHeight="1">
      <c r="E99" s="26"/>
    </row>
    <row r="100" ht="15.75" customHeight="1">
      <c r="E100" s="26"/>
    </row>
    <row r="101" ht="15.75" customHeight="1">
      <c r="E101" s="26"/>
    </row>
    <row r="102" ht="15.75" customHeight="1">
      <c r="E102" s="26"/>
    </row>
    <row r="103" ht="15.75" customHeight="1">
      <c r="E103" s="26"/>
    </row>
    <row r="104" ht="15.75" customHeight="1">
      <c r="E104" s="26"/>
    </row>
    <row r="105" ht="15.75" customHeight="1">
      <c r="E105" s="26"/>
    </row>
    <row r="106" ht="15.75" customHeight="1">
      <c r="E106" s="26"/>
    </row>
    <row r="107" ht="15.75" customHeight="1">
      <c r="E107" s="26"/>
    </row>
    <row r="108" ht="15.75" customHeight="1">
      <c r="E108" s="26"/>
    </row>
    <row r="109" ht="15.75" customHeight="1">
      <c r="E109" s="26"/>
    </row>
    <row r="110" ht="15.75" customHeight="1">
      <c r="E110" s="26"/>
    </row>
    <row r="111" ht="15.75" customHeight="1">
      <c r="E111" s="26"/>
    </row>
    <row r="112" ht="15.75" customHeight="1">
      <c r="E112" s="26"/>
    </row>
    <row r="113" ht="15.75" customHeight="1">
      <c r="E113" s="26"/>
    </row>
    <row r="114" ht="15.75" customHeight="1">
      <c r="E114" s="26"/>
    </row>
    <row r="115" ht="15.75" customHeight="1">
      <c r="E115" s="26"/>
    </row>
    <row r="116" ht="15.75" customHeight="1">
      <c r="E116" s="26"/>
    </row>
    <row r="117" ht="15.75" customHeight="1">
      <c r="E117" s="26"/>
    </row>
    <row r="118" ht="15.75" customHeight="1">
      <c r="E118" s="26"/>
    </row>
    <row r="119" ht="15.75" customHeight="1">
      <c r="E119" s="26"/>
    </row>
    <row r="120" ht="15.75" customHeight="1">
      <c r="E120" s="26"/>
    </row>
    <row r="121" ht="15.75" customHeight="1">
      <c r="E121" s="26"/>
    </row>
    <row r="122" ht="15.75" customHeight="1">
      <c r="E122" s="26"/>
    </row>
    <row r="123" ht="15.75" customHeight="1">
      <c r="E123" s="26"/>
    </row>
    <row r="124" ht="15.75" customHeight="1">
      <c r="E124" s="26"/>
    </row>
    <row r="125" ht="15.75" customHeight="1">
      <c r="E125" s="26"/>
    </row>
    <row r="126" ht="15.75" customHeight="1">
      <c r="E126" s="26"/>
    </row>
    <row r="127" ht="15.75" customHeight="1">
      <c r="E127" s="26"/>
    </row>
    <row r="128" ht="15.75" customHeight="1">
      <c r="E128" s="26"/>
    </row>
    <row r="129" ht="15.75" customHeight="1">
      <c r="E129" s="26"/>
    </row>
    <row r="130" ht="15.75" customHeight="1">
      <c r="E130" s="26"/>
    </row>
    <row r="131" ht="15.75" customHeight="1">
      <c r="E131" s="26"/>
    </row>
    <row r="132" ht="15.75" customHeight="1">
      <c r="E132" s="26"/>
    </row>
    <row r="133" ht="15.75" customHeight="1">
      <c r="E133" s="26"/>
    </row>
    <row r="134" ht="15.75" customHeight="1">
      <c r="E134" s="26"/>
    </row>
    <row r="135" ht="15.75" customHeight="1">
      <c r="E135" s="26"/>
    </row>
    <row r="136" ht="15.75" customHeight="1">
      <c r="E136" s="26"/>
    </row>
    <row r="137" ht="15.75" customHeight="1">
      <c r="E137" s="26"/>
    </row>
    <row r="138" ht="15.75" customHeight="1">
      <c r="E138" s="26"/>
    </row>
    <row r="139" ht="15.75" customHeight="1">
      <c r="E139" s="26"/>
    </row>
    <row r="140" ht="15.75" customHeight="1">
      <c r="E140" s="26"/>
    </row>
    <row r="141" ht="15.75" customHeight="1">
      <c r="E141" s="26"/>
    </row>
    <row r="142" ht="15.75" customHeight="1">
      <c r="E142" s="26"/>
    </row>
    <row r="143" ht="15.75" customHeight="1">
      <c r="E143" s="26"/>
    </row>
    <row r="144" ht="15.75" customHeight="1">
      <c r="E144" s="26"/>
    </row>
    <row r="145" ht="15.75" customHeight="1">
      <c r="E145" s="26"/>
    </row>
    <row r="146" ht="15.75" customHeight="1">
      <c r="E146" s="26"/>
    </row>
    <row r="147" ht="15.75" customHeight="1">
      <c r="E147" s="26"/>
    </row>
    <row r="148" ht="15.75" customHeight="1">
      <c r="E148" s="26"/>
    </row>
    <row r="149" ht="15.75" customHeight="1">
      <c r="E149" s="26"/>
    </row>
    <row r="150" ht="15.75" customHeight="1">
      <c r="E150" s="26"/>
    </row>
    <row r="151" ht="15.75" customHeight="1">
      <c r="E151" s="26"/>
    </row>
    <row r="152" ht="15.75" customHeight="1">
      <c r="E152" s="26"/>
    </row>
    <row r="153" ht="15.75" customHeight="1">
      <c r="E153" s="26"/>
    </row>
    <row r="154" ht="15.75" customHeight="1">
      <c r="E154" s="26"/>
    </row>
    <row r="155" ht="15.75" customHeight="1">
      <c r="E155" s="26"/>
    </row>
    <row r="156" ht="15.75" customHeight="1">
      <c r="E156" s="26"/>
    </row>
    <row r="157" ht="15.75" customHeight="1">
      <c r="E157" s="26"/>
    </row>
    <row r="158" ht="15.75" customHeight="1">
      <c r="E158" s="26"/>
    </row>
    <row r="159" ht="15.75" customHeight="1">
      <c r="E159" s="26"/>
    </row>
    <row r="160" ht="15.75" customHeight="1">
      <c r="E160" s="26"/>
    </row>
    <row r="161" ht="15.75" customHeight="1">
      <c r="E161" s="26"/>
    </row>
    <row r="162" ht="15.75" customHeight="1">
      <c r="E162" s="26"/>
    </row>
    <row r="163" ht="15.75" customHeight="1">
      <c r="E163" s="26"/>
    </row>
    <row r="164" ht="15.75" customHeight="1">
      <c r="E164" s="26"/>
    </row>
    <row r="165" ht="15.75" customHeight="1">
      <c r="E165" s="26"/>
    </row>
    <row r="166" ht="15.75" customHeight="1">
      <c r="E166" s="26"/>
    </row>
    <row r="167" ht="15.75" customHeight="1">
      <c r="E167" s="26"/>
    </row>
    <row r="168" ht="15.75" customHeight="1">
      <c r="E168" s="26"/>
    </row>
    <row r="169" ht="15.75" customHeight="1">
      <c r="E169" s="26"/>
    </row>
    <row r="170" ht="15.75" customHeight="1">
      <c r="E170" s="26"/>
    </row>
    <row r="171" ht="15.75" customHeight="1">
      <c r="E171" s="26"/>
    </row>
    <row r="172" ht="15.75" customHeight="1">
      <c r="E172" s="26"/>
    </row>
    <row r="173" ht="15.75" customHeight="1">
      <c r="E173" s="26"/>
    </row>
    <row r="174" ht="15.75" customHeight="1">
      <c r="E174" s="26"/>
    </row>
    <row r="175" ht="15.75" customHeight="1">
      <c r="E175" s="26"/>
    </row>
    <row r="176" ht="15.75" customHeight="1">
      <c r="E176" s="26"/>
    </row>
    <row r="177" ht="15.75" customHeight="1">
      <c r="E177" s="26"/>
    </row>
    <row r="178" ht="15.75" customHeight="1">
      <c r="E178" s="26"/>
    </row>
    <row r="179" ht="15.75" customHeight="1">
      <c r="E179" s="26"/>
    </row>
    <row r="180" ht="15.75" customHeight="1">
      <c r="E180" s="26"/>
    </row>
    <row r="181" ht="15.75" customHeight="1">
      <c r="E181" s="26"/>
    </row>
    <row r="182" ht="15.75" customHeight="1">
      <c r="E182" s="26"/>
    </row>
    <row r="183" ht="15.75" customHeight="1">
      <c r="E183" s="26"/>
    </row>
    <row r="184" ht="15.75" customHeight="1">
      <c r="E184" s="26"/>
    </row>
    <row r="185" ht="15.75" customHeight="1">
      <c r="E185" s="26"/>
    </row>
    <row r="186" ht="15.75" customHeight="1">
      <c r="E186" s="26"/>
    </row>
    <row r="187" ht="15.75" customHeight="1">
      <c r="E187" s="26"/>
    </row>
    <row r="188" ht="15.75" customHeight="1">
      <c r="E188" s="26"/>
    </row>
    <row r="189" ht="15.75" customHeight="1">
      <c r="E189" s="26"/>
    </row>
    <row r="190" ht="15.75" customHeight="1">
      <c r="E190" s="26"/>
    </row>
    <row r="191" ht="15.75" customHeight="1">
      <c r="E191" s="26"/>
    </row>
    <row r="192" ht="15.75" customHeight="1">
      <c r="E192" s="26"/>
    </row>
    <row r="193" ht="15.75" customHeight="1">
      <c r="E193" s="26"/>
    </row>
    <row r="194" ht="15.75" customHeight="1">
      <c r="E194" s="26"/>
    </row>
    <row r="195" ht="15.75" customHeight="1">
      <c r="E195" s="26"/>
    </row>
    <row r="196" ht="15.75" customHeight="1">
      <c r="E196" s="26"/>
    </row>
    <row r="197" ht="15.75" customHeight="1">
      <c r="E197" s="26"/>
    </row>
    <row r="198" ht="15.75" customHeight="1">
      <c r="E198" s="26"/>
    </row>
    <row r="199" ht="15.75" customHeight="1">
      <c r="E199" s="26"/>
    </row>
    <row r="200" ht="15.75" customHeight="1">
      <c r="E200" s="26"/>
    </row>
    <row r="201" ht="15.75" customHeight="1">
      <c r="E201" s="26"/>
    </row>
    <row r="202" ht="15.75" customHeight="1">
      <c r="E202" s="26"/>
    </row>
    <row r="203" ht="15.75" customHeight="1">
      <c r="E203" s="26"/>
    </row>
    <row r="204" ht="15.75" customHeight="1">
      <c r="E204" s="26"/>
    </row>
    <row r="205" ht="15.75" customHeight="1">
      <c r="E205" s="26"/>
    </row>
    <row r="206" ht="15.75" customHeight="1">
      <c r="E206" s="26"/>
    </row>
    <row r="207" ht="15.75" customHeight="1">
      <c r="E207" s="26"/>
    </row>
    <row r="208" ht="15.75" customHeight="1">
      <c r="E208" s="26"/>
    </row>
    <row r="209" ht="15.75" customHeight="1">
      <c r="E209" s="26"/>
    </row>
    <row r="210" ht="15.75" customHeight="1">
      <c r="E210" s="26"/>
    </row>
    <row r="211" ht="15.75" customHeight="1">
      <c r="E211" s="26"/>
    </row>
    <row r="212" ht="15.75" customHeight="1">
      <c r="E212" s="26"/>
    </row>
    <row r="213" ht="15.75" customHeight="1">
      <c r="E213" s="26"/>
    </row>
    <row r="214" ht="15.75" customHeight="1">
      <c r="E214" s="26"/>
    </row>
    <row r="215" ht="15.75" customHeight="1">
      <c r="E215" s="26"/>
    </row>
    <row r="216" ht="15.75" customHeight="1">
      <c r="E216" s="26"/>
    </row>
    <row r="217" ht="15.75" customHeight="1">
      <c r="E217" s="26"/>
    </row>
    <row r="218" ht="15.75" customHeight="1">
      <c r="E218" s="26"/>
    </row>
    <row r="219" ht="15.75" customHeight="1">
      <c r="E219" s="26"/>
    </row>
    <row r="220" ht="15.75" customHeight="1">
      <c r="E220" s="26"/>
    </row>
    <row r="221" ht="15.75" customHeight="1">
      <c r="E221" s="26"/>
    </row>
    <row r="222" ht="15.75" customHeight="1">
      <c r="E222" s="26"/>
    </row>
    <row r="223" ht="15.75" customHeight="1">
      <c r="E223" s="26"/>
    </row>
    <row r="224" ht="15.75" customHeight="1">
      <c r="E224" s="26"/>
    </row>
    <row r="225" ht="15.75" customHeight="1">
      <c r="E225" s="26"/>
    </row>
    <row r="226" ht="15.75" customHeight="1">
      <c r="E226" s="26"/>
    </row>
    <row r="227" ht="15.75" customHeight="1">
      <c r="E227" s="26"/>
    </row>
    <row r="228" ht="15.75" customHeight="1">
      <c r="E228" s="26"/>
    </row>
    <row r="229" ht="15.75" customHeight="1">
      <c r="E229" s="26"/>
    </row>
    <row r="230" ht="15.75" customHeight="1">
      <c r="E230" s="26"/>
    </row>
    <row r="231" ht="15.75" customHeight="1">
      <c r="E231" s="26"/>
    </row>
    <row r="232" ht="15.75" customHeight="1">
      <c r="E232" s="26"/>
    </row>
    <row r="233" ht="15.75" customHeight="1">
      <c r="E233" s="26"/>
    </row>
    <row r="234" ht="15.75" customHeight="1">
      <c r="E234" s="26"/>
    </row>
    <row r="235" ht="15.75" customHeight="1">
      <c r="E235" s="26"/>
    </row>
    <row r="236" ht="15.75" customHeight="1">
      <c r="E236" s="26"/>
    </row>
    <row r="237" ht="15.75" customHeight="1">
      <c r="E237" s="26"/>
    </row>
    <row r="238" ht="15.75" customHeight="1">
      <c r="E238" s="26"/>
    </row>
    <row r="239" ht="15.75" customHeight="1">
      <c r="E239" s="26"/>
    </row>
    <row r="240" ht="15.75" customHeight="1">
      <c r="E240" s="26"/>
    </row>
    <row r="241" ht="15.75" customHeight="1">
      <c r="E241" s="26"/>
    </row>
    <row r="242" ht="15.75" customHeight="1">
      <c r="E242" s="26"/>
    </row>
    <row r="243" ht="15.75" customHeight="1">
      <c r="E243" s="26"/>
    </row>
    <row r="244" ht="15.75" customHeight="1">
      <c r="E244" s="26"/>
    </row>
    <row r="245" ht="15.75" customHeight="1">
      <c r="E245" s="26"/>
    </row>
    <row r="246" ht="15.75" customHeight="1">
      <c r="E246" s="26"/>
    </row>
    <row r="247" ht="15.75" customHeight="1">
      <c r="E247" s="26"/>
    </row>
    <row r="248" ht="15.75" customHeight="1">
      <c r="E248" s="26"/>
    </row>
    <row r="249" ht="15.75" customHeight="1">
      <c r="E249" s="26"/>
    </row>
    <row r="250" ht="15.75" customHeight="1">
      <c r="E250" s="26"/>
    </row>
    <row r="251" ht="15.75" customHeight="1">
      <c r="E251" s="26"/>
    </row>
    <row r="252" ht="15.75" customHeight="1">
      <c r="E252" s="26"/>
    </row>
    <row r="253" ht="15.75" customHeight="1">
      <c r="E253" s="26"/>
    </row>
    <row r="254" ht="15.75" customHeight="1">
      <c r="E254" s="26"/>
    </row>
    <row r="255" ht="15.75" customHeight="1">
      <c r="E255" s="26"/>
    </row>
    <row r="256" ht="15.75" customHeight="1">
      <c r="E256" s="26"/>
    </row>
    <row r="257" ht="15.75" customHeight="1">
      <c r="E257" s="26"/>
    </row>
    <row r="258" ht="15.75" customHeight="1">
      <c r="E258" s="26"/>
    </row>
    <row r="259" ht="15.75" customHeight="1">
      <c r="E259" s="26"/>
    </row>
    <row r="260" ht="15.75" customHeight="1">
      <c r="E260" s="26"/>
    </row>
    <row r="261" ht="15.75" customHeight="1">
      <c r="E261" s="26"/>
    </row>
    <row r="262" ht="15.75" customHeight="1">
      <c r="E262" s="26"/>
    </row>
    <row r="263" ht="15.75" customHeight="1">
      <c r="E263" s="26"/>
    </row>
    <row r="264" ht="15.75" customHeight="1">
      <c r="E264" s="26"/>
    </row>
    <row r="265" ht="15.75" customHeight="1">
      <c r="E265" s="26"/>
    </row>
    <row r="266" ht="15.75" customHeight="1">
      <c r="E266" s="26"/>
    </row>
    <row r="267" ht="15.75" customHeight="1">
      <c r="E267" s="26"/>
    </row>
    <row r="268" ht="15.75" customHeight="1">
      <c r="E268" s="26"/>
    </row>
    <row r="269" ht="15.75" customHeight="1">
      <c r="E269" s="26"/>
    </row>
    <row r="270" ht="15.75" customHeight="1">
      <c r="E270" s="26"/>
    </row>
    <row r="271" ht="15.75" customHeight="1">
      <c r="E271" s="26"/>
    </row>
    <row r="272" ht="15.75" customHeight="1">
      <c r="E272" s="26"/>
    </row>
    <row r="273" ht="15.75" customHeight="1">
      <c r="E273" s="26"/>
    </row>
    <row r="274" ht="15.75" customHeight="1">
      <c r="E274" s="26"/>
    </row>
    <row r="275" ht="15.75" customHeight="1">
      <c r="E275" s="26"/>
    </row>
    <row r="276" ht="15.75" customHeight="1">
      <c r="E276" s="26"/>
    </row>
    <row r="277" ht="15.75" customHeight="1">
      <c r="E277" s="26"/>
    </row>
    <row r="278" ht="15.75" customHeight="1">
      <c r="E278" s="26"/>
    </row>
    <row r="279" ht="15.75" customHeight="1">
      <c r="E279" s="26"/>
    </row>
    <row r="280" ht="15.75" customHeight="1">
      <c r="E280" s="26"/>
    </row>
    <row r="281" ht="15.75" customHeight="1">
      <c r="E281" s="26"/>
    </row>
    <row r="282" ht="15.75" customHeight="1">
      <c r="E282" s="26"/>
    </row>
    <row r="283" ht="15.75" customHeight="1">
      <c r="E283" s="26"/>
    </row>
    <row r="284" ht="15.75" customHeight="1">
      <c r="E284" s="26"/>
    </row>
    <row r="285" ht="15.75" customHeight="1">
      <c r="E285" s="26"/>
    </row>
    <row r="286" ht="15.75" customHeight="1">
      <c r="E286" s="26"/>
    </row>
    <row r="287" ht="15.75" customHeight="1">
      <c r="E287" s="26"/>
    </row>
    <row r="288" ht="15.75" customHeight="1">
      <c r="E288" s="26"/>
    </row>
    <row r="289" ht="15.75" customHeight="1">
      <c r="E289" s="26"/>
    </row>
    <row r="290" ht="15.75" customHeight="1">
      <c r="E290" s="26"/>
    </row>
    <row r="291" ht="15.75" customHeight="1">
      <c r="E291" s="26"/>
    </row>
    <row r="292" ht="15.75" customHeight="1">
      <c r="E292" s="26"/>
    </row>
    <row r="293" ht="15.75" customHeight="1">
      <c r="E293" s="26"/>
    </row>
    <row r="294" ht="15.75" customHeight="1">
      <c r="E294" s="26"/>
    </row>
    <row r="295" ht="15.75" customHeight="1">
      <c r="E295" s="26"/>
    </row>
    <row r="296" ht="15.75" customHeight="1">
      <c r="E296" s="26"/>
    </row>
    <row r="297" ht="15.75" customHeight="1">
      <c r="E297" s="26"/>
    </row>
    <row r="298" ht="15.75" customHeight="1">
      <c r="E298" s="26"/>
    </row>
    <row r="299" ht="15.75" customHeight="1">
      <c r="E299" s="26"/>
    </row>
    <row r="300" ht="15.75" customHeight="1">
      <c r="E300" s="26"/>
    </row>
    <row r="301" ht="15.75" customHeight="1">
      <c r="E301" s="26"/>
    </row>
    <row r="302" ht="15.75" customHeight="1">
      <c r="E302" s="26"/>
    </row>
    <row r="303" ht="15.75" customHeight="1">
      <c r="E303" s="26"/>
    </row>
    <row r="304" ht="15.75" customHeight="1">
      <c r="E304" s="26"/>
    </row>
    <row r="305" ht="15.75" customHeight="1">
      <c r="E305" s="26"/>
    </row>
    <row r="306" ht="15.75" customHeight="1">
      <c r="E306" s="26"/>
    </row>
    <row r="307" ht="15.75" customHeight="1">
      <c r="E307" s="26"/>
    </row>
    <row r="308" ht="15.75" customHeight="1">
      <c r="E308" s="26"/>
    </row>
    <row r="309" ht="15.75" customHeight="1">
      <c r="E309" s="26"/>
    </row>
    <row r="310" ht="15.75" customHeight="1">
      <c r="E310" s="26"/>
    </row>
    <row r="311" ht="15.75" customHeight="1">
      <c r="E311" s="26"/>
    </row>
    <row r="312" ht="15.75" customHeight="1">
      <c r="E312" s="26"/>
    </row>
    <row r="313" ht="15.75" customHeight="1">
      <c r="E313" s="26"/>
    </row>
    <row r="314" ht="15.75" customHeight="1">
      <c r="E314" s="26"/>
    </row>
    <row r="315" ht="15.75" customHeight="1">
      <c r="E315" s="26"/>
    </row>
    <row r="316" ht="15.75" customHeight="1">
      <c r="E316" s="26"/>
    </row>
    <row r="317" ht="15.75" customHeight="1">
      <c r="E317" s="26"/>
    </row>
    <row r="318" ht="15.75" customHeight="1">
      <c r="E318" s="26"/>
    </row>
    <row r="319" ht="15.75" customHeight="1">
      <c r="E319" s="26"/>
    </row>
    <row r="320" ht="15.75" customHeight="1">
      <c r="E320" s="26"/>
    </row>
    <row r="321" ht="15.75" customHeight="1">
      <c r="E321" s="26"/>
    </row>
    <row r="322" ht="15.75" customHeight="1">
      <c r="E322" s="26"/>
    </row>
    <row r="323" ht="15.75" customHeight="1">
      <c r="E323" s="26"/>
    </row>
    <row r="324" ht="15.75" customHeight="1">
      <c r="E324" s="26"/>
    </row>
    <row r="325" ht="15.75" customHeight="1">
      <c r="E325" s="26"/>
    </row>
    <row r="326" ht="15.75" customHeight="1">
      <c r="E326" s="26"/>
    </row>
    <row r="327" ht="15.75" customHeight="1">
      <c r="E327" s="26"/>
    </row>
    <row r="328" ht="15.75" customHeight="1">
      <c r="E328" s="26"/>
    </row>
    <row r="329" ht="15.75" customHeight="1">
      <c r="E329" s="26"/>
    </row>
    <row r="330" ht="15.75" customHeight="1">
      <c r="E330" s="26"/>
    </row>
    <row r="331" ht="15.75" customHeight="1">
      <c r="E331" s="26"/>
    </row>
    <row r="332" ht="15.75" customHeight="1">
      <c r="E332" s="26"/>
    </row>
    <row r="333" ht="15.75" customHeight="1">
      <c r="E333" s="26"/>
    </row>
    <row r="334" ht="15.75" customHeight="1">
      <c r="E334" s="26"/>
    </row>
    <row r="335" ht="15.75" customHeight="1">
      <c r="E335" s="26"/>
    </row>
    <row r="336" ht="15.75" customHeight="1">
      <c r="E336" s="26"/>
    </row>
    <row r="337" ht="15.75" customHeight="1">
      <c r="E337" s="26"/>
    </row>
    <row r="338" ht="15.75" customHeight="1">
      <c r="E338" s="26"/>
    </row>
    <row r="339" ht="15.75" customHeight="1">
      <c r="E339" s="26"/>
    </row>
    <row r="340" ht="15.75" customHeight="1">
      <c r="E340" s="26"/>
    </row>
    <row r="341" ht="15.75" customHeight="1">
      <c r="E341" s="26"/>
    </row>
    <row r="342" ht="15.75" customHeight="1">
      <c r="E342" s="26"/>
    </row>
    <row r="343" ht="15.75" customHeight="1">
      <c r="E343" s="26"/>
    </row>
    <row r="344" ht="15.75" customHeight="1">
      <c r="E344" s="26"/>
    </row>
    <row r="345" ht="15.75" customHeight="1">
      <c r="E345" s="26"/>
    </row>
    <row r="346" ht="15.75" customHeight="1">
      <c r="E346" s="26"/>
    </row>
    <row r="347" ht="15.75" customHeight="1">
      <c r="E347" s="26"/>
    </row>
    <row r="348" ht="15.75" customHeight="1">
      <c r="E348" s="26"/>
    </row>
    <row r="349" ht="15.75" customHeight="1">
      <c r="E349" s="26"/>
    </row>
    <row r="350" ht="15.75" customHeight="1">
      <c r="E350" s="26"/>
    </row>
    <row r="351" ht="15.75" customHeight="1">
      <c r="E351" s="26"/>
    </row>
    <row r="352" ht="15.75" customHeight="1">
      <c r="E352" s="26"/>
    </row>
    <row r="353" ht="15.75" customHeight="1">
      <c r="E353" s="26"/>
    </row>
    <row r="354" ht="15.75" customHeight="1">
      <c r="E354" s="26"/>
    </row>
    <row r="355" ht="15.75" customHeight="1">
      <c r="E355" s="26"/>
    </row>
    <row r="356" ht="15.75" customHeight="1">
      <c r="E356" s="26"/>
    </row>
    <row r="357" ht="15.75" customHeight="1">
      <c r="E357" s="26"/>
    </row>
    <row r="358" ht="15.75" customHeight="1">
      <c r="E358" s="26"/>
    </row>
    <row r="359" ht="15.75" customHeight="1">
      <c r="E359" s="26"/>
    </row>
    <row r="360" ht="15.75" customHeight="1">
      <c r="E360" s="26"/>
    </row>
    <row r="361" ht="15.75" customHeight="1">
      <c r="E361" s="26"/>
    </row>
    <row r="362" ht="15.75" customHeight="1">
      <c r="E362" s="26"/>
    </row>
    <row r="363" ht="15.75" customHeight="1">
      <c r="E363" s="26"/>
    </row>
    <row r="364" ht="15.75" customHeight="1">
      <c r="E364" s="26"/>
    </row>
    <row r="365" ht="15.75" customHeight="1">
      <c r="E365" s="26"/>
    </row>
    <row r="366" ht="15.75" customHeight="1">
      <c r="E366" s="26"/>
    </row>
    <row r="367" ht="15.75" customHeight="1">
      <c r="E367" s="26"/>
    </row>
    <row r="368" ht="15.75" customHeight="1">
      <c r="E368" s="26"/>
    </row>
    <row r="369" ht="15.75" customHeight="1">
      <c r="E369" s="26"/>
    </row>
    <row r="370" ht="15.75" customHeight="1">
      <c r="E370" s="26"/>
    </row>
    <row r="371" ht="15.75" customHeight="1">
      <c r="E371" s="26"/>
    </row>
    <row r="372" ht="15.75" customHeight="1">
      <c r="E372" s="26"/>
    </row>
    <row r="373" ht="15.75" customHeight="1">
      <c r="E373" s="26"/>
    </row>
    <row r="374" ht="15.75" customHeight="1">
      <c r="E374" s="26"/>
    </row>
    <row r="375" ht="15.75" customHeight="1">
      <c r="E375" s="26"/>
    </row>
    <row r="376" ht="15.75" customHeight="1">
      <c r="E376" s="26"/>
    </row>
    <row r="377" ht="15.75" customHeight="1">
      <c r="E377" s="26"/>
    </row>
    <row r="378" ht="15.75" customHeight="1">
      <c r="E378" s="26"/>
    </row>
    <row r="379" ht="15.75" customHeight="1">
      <c r="E379" s="26"/>
    </row>
    <row r="380" ht="15.75" customHeight="1">
      <c r="E380" s="26"/>
    </row>
    <row r="381" ht="15.75" customHeight="1">
      <c r="E381" s="26"/>
    </row>
    <row r="382" ht="15.75" customHeight="1">
      <c r="E382" s="26"/>
    </row>
    <row r="383" ht="15.75" customHeight="1">
      <c r="E383" s="26"/>
    </row>
    <row r="384" ht="15.75" customHeight="1">
      <c r="E384" s="26"/>
    </row>
    <row r="385" ht="15.75" customHeight="1">
      <c r="E385" s="26"/>
    </row>
    <row r="386" ht="15.75" customHeight="1">
      <c r="E386" s="26"/>
    </row>
    <row r="387" ht="15.75" customHeight="1">
      <c r="E387" s="26"/>
    </row>
    <row r="388" ht="15.75" customHeight="1">
      <c r="E388" s="26"/>
    </row>
    <row r="389" ht="15.75" customHeight="1">
      <c r="E389" s="26"/>
    </row>
    <row r="390" ht="15.75" customHeight="1">
      <c r="E390" s="26"/>
    </row>
    <row r="391" ht="15.75" customHeight="1">
      <c r="E391" s="26"/>
    </row>
    <row r="392" ht="15.75" customHeight="1">
      <c r="E392" s="26"/>
    </row>
    <row r="393" ht="15.75" customHeight="1">
      <c r="E393" s="26"/>
    </row>
    <row r="394" ht="15.75" customHeight="1">
      <c r="E394" s="26"/>
    </row>
    <row r="395" ht="15.75" customHeight="1">
      <c r="E395" s="26"/>
    </row>
    <row r="396" ht="15.75" customHeight="1">
      <c r="E396" s="26"/>
    </row>
    <row r="397" ht="15.75" customHeight="1">
      <c r="E397" s="26"/>
    </row>
    <row r="398" ht="15.75" customHeight="1">
      <c r="E398" s="26"/>
    </row>
    <row r="399" ht="15.75" customHeight="1">
      <c r="E399" s="26"/>
    </row>
    <row r="400" ht="15.75" customHeight="1">
      <c r="E400" s="26"/>
    </row>
    <row r="401" ht="15.75" customHeight="1">
      <c r="E401" s="26"/>
    </row>
    <row r="402" ht="15.75" customHeight="1">
      <c r="E402" s="26"/>
    </row>
    <row r="403" ht="15.75" customHeight="1">
      <c r="E403" s="26"/>
    </row>
    <row r="404" ht="15.75" customHeight="1">
      <c r="E404" s="26"/>
    </row>
    <row r="405" ht="15.75" customHeight="1">
      <c r="E405" s="26"/>
    </row>
    <row r="406" ht="15.75" customHeight="1">
      <c r="E406" s="26"/>
    </row>
    <row r="407" ht="15.75" customHeight="1">
      <c r="E407" s="26"/>
    </row>
    <row r="408" ht="15.75" customHeight="1">
      <c r="E408" s="26"/>
    </row>
    <row r="409" ht="15.75" customHeight="1">
      <c r="E409" s="26"/>
    </row>
    <row r="410" ht="15.75" customHeight="1">
      <c r="E410" s="26"/>
    </row>
    <row r="411" ht="15.75" customHeight="1">
      <c r="E411" s="26"/>
    </row>
    <row r="412" ht="15.75" customHeight="1">
      <c r="E412" s="26"/>
    </row>
    <row r="413" ht="15.75" customHeight="1">
      <c r="E413" s="26"/>
    </row>
    <row r="414" ht="15.75" customHeight="1">
      <c r="E414" s="26"/>
    </row>
    <row r="415" ht="15.75" customHeight="1">
      <c r="E415" s="26"/>
    </row>
    <row r="416" ht="15.75" customHeight="1">
      <c r="E416" s="26"/>
    </row>
    <row r="417" ht="15.75" customHeight="1">
      <c r="E417" s="26"/>
    </row>
    <row r="418" ht="15.75" customHeight="1">
      <c r="E418" s="26"/>
    </row>
    <row r="419" ht="15.75" customHeight="1">
      <c r="E419" s="26"/>
    </row>
    <row r="420" ht="15.75" customHeight="1">
      <c r="E420" s="26"/>
    </row>
    <row r="421" ht="15.75" customHeight="1">
      <c r="E421" s="26"/>
    </row>
    <row r="422" ht="15.75" customHeight="1">
      <c r="E422" s="26"/>
    </row>
    <row r="423" ht="15.75" customHeight="1">
      <c r="E423" s="26"/>
    </row>
    <row r="424" ht="15.75" customHeight="1">
      <c r="E424" s="26"/>
    </row>
    <row r="425" ht="15.75" customHeight="1">
      <c r="E425" s="26"/>
    </row>
    <row r="426" ht="15.75" customHeight="1">
      <c r="E426" s="26"/>
    </row>
    <row r="427" ht="15.75" customHeight="1">
      <c r="E427" s="26"/>
    </row>
    <row r="428" ht="15.75" customHeight="1">
      <c r="E428" s="26"/>
    </row>
    <row r="429" ht="15.75" customHeight="1">
      <c r="E429" s="26"/>
    </row>
    <row r="430" ht="15.75" customHeight="1">
      <c r="E430" s="26"/>
    </row>
    <row r="431" ht="15.75" customHeight="1">
      <c r="E431" s="26"/>
    </row>
    <row r="432" ht="15.75" customHeight="1">
      <c r="E432" s="26"/>
    </row>
    <row r="433" ht="15.75" customHeight="1">
      <c r="E433" s="26"/>
    </row>
    <row r="434" ht="15.75" customHeight="1">
      <c r="E434" s="26"/>
    </row>
    <row r="435" ht="15.75" customHeight="1">
      <c r="E435" s="26"/>
    </row>
    <row r="436" ht="15.75" customHeight="1">
      <c r="E436" s="26"/>
    </row>
    <row r="437" ht="15.75" customHeight="1">
      <c r="E437" s="26"/>
    </row>
    <row r="438" ht="15.75" customHeight="1">
      <c r="E438" s="26"/>
    </row>
    <row r="439" ht="15.75" customHeight="1">
      <c r="E439" s="26"/>
    </row>
    <row r="440" ht="15.75" customHeight="1">
      <c r="E440" s="26"/>
    </row>
    <row r="441" ht="15.75" customHeight="1">
      <c r="E441" s="26"/>
    </row>
    <row r="442" ht="15.75" customHeight="1">
      <c r="E442" s="26"/>
    </row>
    <row r="443" ht="15.75" customHeight="1">
      <c r="E443" s="26"/>
    </row>
    <row r="444" ht="15.75" customHeight="1">
      <c r="E444" s="26"/>
    </row>
    <row r="445" ht="15.75" customHeight="1">
      <c r="E445" s="26"/>
    </row>
    <row r="446" ht="15.75" customHeight="1">
      <c r="E446" s="26"/>
    </row>
    <row r="447" ht="15.75" customHeight="1">
      <c r="E447" s="26"/>
    </row>
    <row r="448" ht="15.75" customHeight="1">
      <c r="E448" s="26"/>
    </row>
    <row r="449" ht="15.75" customHeight="1">
      <c r="E449" s="26"/>
    </row>
    <row r="450" ht="15.75" customHeight="1">
      <c r="E450" s="26"/>
    </row>
    <row r="451" ht="15.75" customHeight="1">
      <c r="E451" s="26"/>
    </row>
    <row r="452" ht="15.75" customHeight="1">
      <c r="E452" s="26"/>
    </row>
    <row r="453" ht="15.75" customHeight="1">
      <c r="E453" s="26"/>
    </row>
    <row r="454" ht="15.75" customHeight="1">
      <c r="E454" s="26"/>
    </row>
    <row r="455" ht="15.75" customHeight="1">
      <c r="E455" s="26"/>
    </row>
    <row r="456" ht="15.75" customHeight="1">
      <c r="E456" s="26"/>
    </row>
    <row r="457" ht="15.75" customHeight="1">
      <c r="E457" s="26"/>
    </row>
    <row r="458" ht="15.75" customHeight="1">
      <c r="E458" s="26"/>
    </row>
    <row r="459" ht="15.75" customHeight="1">
      <c r="E459" s="26"/>
    </row>
    <row r="460" ht="15.75" customHeight="1">
      <c r="E460" s="26"/>
    </row>
    <row r="461" ht="15.75" customHeight="1">
      <c r="E461" s="26"/>
    </row>
    <row r="462" ht="15.75" customHeight="1">
      <c r="E462" s="26"/>
    </row>
    <row r="463" ht="15.75" customHeight="1">
      <c r="E463" s="26"/>
    </row>
    <row r="464" ht="15.75" customHeight="1">
      <c r="E464" s="26"/>
    </row>
    <row r="465" ht="15.75" customHeight="1">
      <c r="E465" s="26"/>
    </row>
    <row r="466" ht="15.75" customHeight="1">
      <c r="E466" s="26"/>
    </row>
    <row r="467" ht="15.75" customHeight="1">
      <c r="E467" s="26"/>
    </row>
    <row r="468" ht="15.75" customHeight="1">
      <c r="E468" s="26"/>
    </row>
    <row r="469" ht="15.75" customHeight="1">
      <c r="E469" s="26"/>
    </row>
    <row r="470" ht="15.75" customHeight="1">
      <c r="E470" s="26"/>
    </row>
    <row r="471" ht="15.75" customHeight="1">
      <c r="E471" s="26"/>
    </row>
    <row r="472" ht="15.75" customHeight="1">
      <c r="E472" s="26"/>
    </row>
    <row r="473" ht="15.75" customHeight="1">
      <c r="E473" s="26"/>
    </row>
    <row r="474" ht="15.75" customHeight="1">
      <c r="E474" s="26"/>
    </row>
    <row r="475" ht="15.75" customHeight="1">
      <c r="E475" s="26"/>
    </row>
    <row r="476" ht="15.75" customHeight="1">
      <c r="E476" s="26"/>
    </row>
    <row r="477" ht="15.75" customHeight="1">
      <c r="E477" s="26"/>
    </row>
    <row r="478" ht="15.75" customHeight="1">
      <c r="E478" s="26"/>
    </row>
    <row r="479" ht="15.75" customHeight="1">
      <c r="E479" s="26"/>
    </row>
    <row r="480" ht="15.75" customHeight="1">
      <c r="E480" s="26"/>
    </row>
    <row r="481" ht="15.75" customHeight="1">
      <c r="E481" s="26"/>
    </row>
    <row r="482" ht="15.75" customHeight="1">
      <c r="E482" s="26"/>
    </row>
    <row r="483" ht="15.75" customHeight="1">
      <c r="E483" s="26"/>
    </row>
    <row r="484" ht="15.75" customHeight="1">
      <c r="E484" s="26"/>
    </row>
    <row r="485" ht="15.75" customHeight="1">
      <c r="E485" s="26"/>
    </row>
    <row r="486" ht="15.75" customHeight="1">
      <c r="E486" s="26"/>
    </row>
    <row r="487" ht="15.75" customHeight="1">
      <c r="E487" s="26"/>
    </row>
    <row r="488" ht="15.75" customHeight="1">
      <c r="E488" s="26"/>
    </row>
    <row r="489" ht="15.75" customHeight="1">
      <c r="E489" s="26"/>
    </row>
    <row r="490" ht="15.75" customHeight="1">
      <c r="E490" s="26"/>
    </row>
    <row r="491" ht="15.75" customHeight="1">
      <c r="E491" s="26"/>
    </row>
    <row r="492" ht="15.75" customHeight="1">
      <c r="E492" s="26"/>
    </row>
    <row r="493" ht="15.75" customHeight="1">
      <c r="E493" s="26"/>
    </row>
    <row r="494" ht="15.75" customHeight="1">
      <c r="E494" s="26"/>
    </row>
    <row r="495" ht="15.75" customHeight="1">
      <c r="E495" s="26"/>
    </row>
    <row r="496" ht="15.75" customHeight="1">
      <c r="E496" s="26"/>
    </row>
    <row r="497" ht="15.75" customHeight="1">
      <c r="E497" s="26"/>
    </row>
    <row r="498" ht="15.75" customHeight="1">
      <c r="E498" s="26"/>
    </row>
    <row r="499" ht="15.75" customHeight="1">
      <c r="E499" s="26"/>
    </row>
    <row r="500" ht="15.75" customHeight="1">
      <c r="E500" s="26"/>
    </row>
    <row r="501" ht="15.75" customHeight="1">
      <c r="E501" s="26"/>
    </row>
    <row r="502" ht="15.75" customHeight="1">
      <c r="E502" s="26"/>
    </row>
    <row r="503" ht="15.75" customHeight="1">
      <c r="E503" s="26"/>
    </row>
    <row r="504" ht="15.75" customHeight="1">
      <c r="E504" s="26"/>
    </row>
    <row r="505" ht="15.75" customHeight="1">
      <c r="E505" s="26"/>
    </row>
    <row r="506" ht="15.75" customHeight="1">
      <c r="E506" s="26"/>
    </row>
    <row r="507" ht="15.75" customHeight="1">
      <c r="E507" s="26"/>
    </row>
    <row r="508" ht="15.75" customHeight="1">
      <c r="E508" s="26"/>
    </row>
    <row r="509" ht="15.75" customHeight="1">
      <c r="E509" s="26"/>
    </row>
    <row r="510" ht="15.75" customHeight="1">
      <c r="E510" s="26"/>
    </row>
    <row r="511" ht="15.75" customHeight="1">
      <c r="E511" s="26"/>
    </row>
    <row r="512" ht="15.75" customHeight="1">
      <c r="E512" s="26"/>
    </row>
    <row r="513" ht="15.75" customHeight="1">
      <c r="E513" s="26"/>
    </row>
    <row r="514" ht="15.75" customHeight="1">
      <c r="E514" s="26"/>
    </row>
    <row r="515" ht="15.75" customHeight="1">
      <c r="E515" s="26"/>
    </row>
    <row r="516" ht="15.75" customHeight="1">
      <c r="E516" s="26"/>
    </row>
    <row r="517" ht="15.75" customHeight="1">
      <c r="E517" s="26"/>
    </row>
    <row r="518" ht="15.75" customHeight="1">
      <c r="E518" s="26"/>
    </row>
    <row r="519" ht="15.75" customHeight="1">
      <c r="E519" s="26"/>
    </row>
    <row r="520" ht="15.75" customHeight="1">
      <c r="E520" s="26"/>
    </row>
    <row r="521" ht="15.75" customHeight="1">
      <c r="E521" s="26"/>
    </row>
    <row r="522" ht="15.75" customHeight="1">
      <c r="E522" s="26"/>
    </row>
    <row r="523" ht="15.75" customHeight="1">
      <c r="E523" s="26"/>
    </row>
    <row r="524" ht="15.75" customHeight="1">
      <c r="E524" s="26"/>
    </row>
    <row r="525" ht="15.75" customHeight="1">
      <c r="E525" s="26"/>
    </row>
    <row r="526" ht="15.75" customHeight="1">
      <c r="E526" s="26"/>
    </row>
    <row r="527" ht="15.75" customHeight="1">
      <c r="E527" s="26"/>
    </row>
    <row r="528" ht="15.75" customHeight="1">
      <c r="E528" s="26"/>
    </row>
    <row r="529" ht="15.75" customHeight="1">
      <c r="E529" s="26"/>
    </row>
    <row r="530" ht="15.75" customHeight="1">
      <c r="E530" s="26"/>
    </row>
    <row r="531" ht="15.75" customHeight="1">
      <c r="E531" s="26"/>
    </row>
    <row r="532" ht="15.75" customHeight="1">
      <c r="E532" s="26"/>
    </row>
    <row r="533" ht="15.75" customHeight="1">
      <c r="E533" s="26"/>
    </row>
    <row r="534" ht="15.75" customHeight="1">
      <c r="E534" s="26"/>
    </row>
    <row r="535" ht="15.75" customHeight="1">
      <c r="E535" s="26"/>
    </row>
    <row r="536" ht="15.75" customHeight="1">
      <c r="E536" s="26"/>
    </row>
    <row r="537" ht="15.75" customHeight="1">
      <c r="E537" s="26"/>
    </row>
    <row r="538" ht="15.75" customHeight="1">
      <c r="E538" s="26"/>
    </row>
    <row r="539" ht="15.75" customHeight="1">
      <c r="E539" s="26"/>
    </row>
    <row r="540" ht="15.75" customHeight="1">
      <c r="E540" s="26"/>
    </row>
    <row r="541" ht="15.75" customHeight="1">
      <c r="E541" s="26"/>
    </row>
    <row r="542" ht="15.75" customHeight="1">
      <c r="E542" s="26"/>
    </row>
    <row r="543" ht="15.75" customHeight="1">
      <c r="E543" s="26"/>
    </row>
    <row r="544" ht="15.75" customHeight="1">
      <c r="E544" s="26"/>
    </row>
    <row r="545" ht="15.75" customHeight="1">
      <c r="E545" s="26"/>
    </row>
    <row r="546" ht="15.75" customHeight="1">
      <c r="E546" s="26"/>
    </row>
    <row r="547" ht="15.75" customHeight="1">
      <c r="E547" s="26"/>
    </row>
    <row r="548" ht="15.75" customHeight="1">
      <c r="E548" s="26"/>
    </row>
    <row r="549" ht="15.75" customHeight="1">
      <c r="E549" s="26"/>
    </row>
    <row r="550" ht="15.75" customHeight="1">
      <c r="E550" s="26"/>
    </row>
    <row r="551" ht="15.75" customHeight="1">
      <c r="E551" s="26"/>
    </row>
    <row r="552" ht="15.75" customHeight="1">
      <c r="E552" s="26"/>
    </row>
    <row r="553" ht="15.75" customHeight="1">
      <c r="E553" s="26"/>
    </row>
    <row r="554" ht="15.75" customHeight="1">
      <c r="E554" s="26"/>
    </row>
    <row r="555" ht="15.75" customHeight="1">
      <c r="E555" s="26"/>
    </row>
    <row r="556" ht="15.75" customHeight="1">
      <c r="E556" s="26"/>
    </row>
    <row r="557" ht="15.75" customHeight="1">
      <c r="E557" s="26"/>
    </row>
    <row r="558" ht="15.75" customHeight="1">
      <c r="E558" s="26"/>
    </row>
    <row r="559" ht="15.75" customHeight="1">
      <c r="E559" s="26"/>
    </row>
    <row r="560" ht="15.75" customHeight="1">
      <c r="E560" s="26"/>
    </row>
    <row r="561" ht="15.75" customHeight="1">
      <c r="E561" s="26"/>
    </row>
    <row r="562" ht="15.75" customHeight="1">
      <c r="E562" s="26"/>
    </row>
    <row r="563" ht="15.75" customHeight="1">
      <c r="E563" s="26"/>
    </row>
    <row r="564" ht="15.75" customHeight="1">
      <c r="E564" s="26"/>
    </row>
    <row r="565" ht="15.75" customHeight="1">
      <c r="E565" s="26"/>
    </row>
    <row r="566" ht="15.75" customHeight="1">
      <c r="E566" s="26"/>
    </row>
    <row r="567" ht="15.75" customHeight="1">
      <c r="E567" s="26"/>
    </row>
    <row r="568" ht="15.75" customHeight="1">
      <c r="E568" s="26"/>
    </row>
    <row r="569" ht="15.75" customHeight="1">
      <c r="E569" s="26"/>
    </row>
    <row r="570" ht="15.75" customHeight="1">
      <c r="E570" s="26"/>
    </row>
    <row r="571" ht="15.75" customHeight="1">
      <c r="E571" s="26"/>
    </row>
    <row r="572" ht="15.75" customHeight="1">
      <c r="E572" s="26"/>
    </row>
    <row r="573" ht="15.75" customHeight="1">
      <c r="E573" s="26"/>
    </row>
    <row r="574" ht="15.75" customHeight="1">
      <c r="E574" s="26"/>
    </row>
    <row r="575" ht="15.75" customHeight="1">
      <c r="E575" s="26"/>
    </row>
    <row r="576" ht="15.75" customHeight="1">
      <c r="E576" s="26"/>
    </row>
    <row r="577" ht="15.75" customHeight="1">
      <c r="E577" s="26"/>
    </row>
    <row r="578" ht="15.75" customHeight="1">
      <c r="E578" s="26"/>
    </row>
    <row r="579" ht="15.75" customHeight="1">
      <c r="E579" s="26"/>
    </row>
    <row r="580" ht="15.75" customHeight="1">
      <c r="E580" s="26"/>
    </row>
    <row r="581" ht="15.75" customHeight="1">
      <c r="E581" s="26"/>
    </row>
    <row r="582" ht="15.75" customHeight="1">
      <c r="E582" s="26"/>
    </row>
    <row r="583" ht="15.75" customHeight="1">
      <c r="E583" s="26"/>
    </row>
    <row r="584" ht="15.75" customHeight="1">
      <c r="E584" s="26"/>
    </row>
    <row r="585" ht="15.75" customHeight="1">
      <c r="E585" s="26"/>
    </row>
    <row r="586" ht="15.75" customHeight="1">
      <c r="E586" s="26"/>
    </row>
    <row r="587" ht="15.75" customHeight="1">
      <c r="E587" s="26"/>
    </row>
    <row r="588" ht="15.75" customHeight="1">
      <c r="E588" s="26"/>
    </row>
    <row r="589" ht="15.75" customHeight="1">
      <c r="E589" s="26"/>
    </row>
    <row r="590" ht="15.75" customHeight="1">
      <c r="E590" s="26"/>
    </row>
    <row r="591" ht="15.75" customHeight="1">
      <c r="E591" s="26"/>
    </row>
    <row r="592" ht="15.75" customHeight="1">
      <c r="E592" s="26"/>
    </row>
    <row r="593" ht="15.75" customHeight="1">
      <c r="E593" s="26"/>
    </row>
    <row r="594" ht="15.75" customHeight="1">
      <c r="E594" s="26"/>
    </row>
    <row r="595" ht="15.75" customHeight="1">
      <c r="E595" s="26"/>
    </row>
    <row r="596" ht="15.75" customHeight="1">
      <c r="E596" s="26"/>
    </row>
    <row r="597" ht="15.75" customHeight="1">
      <c r="E597" s="26"/>
    </row>
    <row r="598" ht="15.75" customHeight="1">
      <c r="E598" s="26"/>
    </row>
    <row r="599" ht="15.75" customHeight="1">
      <c r="E599" s="26"/>
    </row>
    <row r="600" ht="15.75" customHeight="1">
      <c r="E600" s="26"/>
    </row>
    <row r="601" ht="15.75" customHeight="1">
      <c r="E601" s="26"/>
    </row>
    <row r="602" ht="15.75" customHeight="1">
      <c r="E602" s="26"/>
    </row>
    <row r="603" ht="15.75" customHeight="1">
      <c r="E603" s="26"/>
    </row>
    <row r="604" ht="15.75" customHeight="1">
      <c r="E604" s="26"/>
    </row>
    <row r="605" ht="15.75" customHeight="1">
      <c r="E605" s="26"/>
    </row>
    <row r="606" ht="15.75" customHeight="1">
      <c r="E606" s="26"/>
    </row>
    <row r="607" ht="15.75" customHeight="1">
      <c r="E607" s="26"/>
    </row>
    <row r="608" ht="15.75" customHeight="1">
      <c r="E608" s="26"/>
    </row>
    <row r="609" ht="15.75" customHeight="1">
      <c r="E609" s="26"/>
    </row>
    <row r="610" ht="15.75" customHeight="1">
      <c r="E610" s="26"/>
    </row>
    <row r="611" ht="15.75" customHeight="1">
      <c r="E611" s="26"/>
    </row>
    <row r="612" ht="15.75" customHeight="1">
      <c r="E612" s="26"/>
    </row>
    <row r="613" ht="15.75" customHeight="1">
      <c r="E613" s="26"/>
    </row>
    <row r="614" ht="15.75" customHeight="1">
      <c r="E614" s="26"/>
    </row>
    <row r="615" ht="15.75" customHeight="1">
      <c r="E615" s="26"/>
    </row>
    <row r="616" ht="15.75" customHeight="1">
      <c r="E616" s="26"/>
    </row>
    <row r="617" ht="15.75" customHeight="1">
      <c r="E617" s="26"/>
    </row>
    <row r="618" ht="15.75" customHeight="1">
      <c r="E618" s="26"/>
    </row>
    <row r="619" ht="15.75" customHeight="1">
      <c r="E619" s="26"/>
    </row>
    <row r="620" ht="15.75" customHeight="1">
      <c r="E620" s="26"/>
    </row>
    <row r="621" ht="15.75" customHeight="1">
      <c r="E621" s="26"/>
    </row>
    <row r="622" ht="15.75" customHeight="1">
      <c r="E622" s="26"/>
    </row>
    <row r="623" ht="15.75" customHeight="1">
      <c r="E623" s="26"/>
    </row>
    <row r="624" ht="15.75" customHeight="1">
      <c r="E624" s="26"/>
    </row>
    <row r="625" ht="15.75" customHeight="1">
      <c r="E625" s="26"/>
    </row>
    <row r="626" ht="15.75" customHeight="1">
      <c r="E626" s="26"/>
    </row>
    <row r="627" ht="15.75" customHeight="1">
      <c r="E627" s="26"/>
    </row>
    <row r="628" ht="15.75" customHeight="1">
      <c r="E628" s="26"/>
    </row>
    <row r="629" ht="15.75" customHeight="1">
      <c r="E629" s="26"/>
    </row>
    <row r="630" ht="15.75" customHeight="1">
      <c r="E630" s="26"/>
    </row>
    <row r="631" ht="15.75" customHeight="1">
      <c r="E631" s="26"/>
    </row>
    <row r="632" ht="15.75" customHeight="1">
      <c r="E632" s="26"/>
    </row>
    <row r="633" ht="15.75" customHeight="1">
      <c r="E633" s="26"/>
    </row>
    <row r="634" ht="15.75" customHeight="1">
      <c r="E634" s="26"/>
    </row>
    <row r="635" ht="15.75" customHeight="1">
      <c r="E635" s="26"/>
    </row>
    <row r="636" ht="15.75" customHeight="1">
      <c r="E636" s="26"/>
    </row>
    <row r="637" ht="15.75" customHeight="1">
      <c r="E637" s="26"/>
    </row>
    <row r="638" ht="15.75" customHeight="1">
      <c r="E638" s="26"/>
    </row>
    <row r="639" ht="15.75" customHeight="1">
      <c r="E639" s="26"/>
    </row>
    <row r="640" ht="15.75" customHeight="1">
      <c r="E640" s="26"/>
    </row>
    <row r="641" ht="15.75" customHeight="1">
      <c r="E641" s="26"/>
    </row>
    <row r="642" ht="15.75" customHeight="1">
      <c r="E642" s="26"/>
    </row>
    <row r="643" ht="15.75" customHeight="1">
      <c r="E643" s="26"/>
    </row>
    <row r="644" ht="15.75" customHeight="1">
      <c r="E644" s="26"/>
    </row>
    <row r="645" ht="15.75" customHeight="1">
      <c r="E645" s="26"/>
    </row>
    <row r="646" ht="15.75" customHeight="1">
      <c r="E646" s="26"/>
    </row>
    <row r="647" ht="15.75" customHeight="1">
      <c r="E647" s="26"/>
    </row>
    <row r="648" ht="15.75" customHeight="1">
      <c r="E648" s="26"/>
    </row>
    <row r="649" ht="15.75" customHeight="1">
      <c r="E649" s="26"/>
    </row>
    <row r="650" ht="15.75" customHeight="1">
      <c r="E650" s="26"/>
    </row>
    <row r="651" ht="15.75" customHeight="1">
      <c r="E651" s="26"/>
    </row>
    <row r="652" ht="15.75" customHeight="1">
      <c r="E652" s="26"/>
    </row>
    <row r="653" ht="15.75" customHeight="1">
      <c r="E653" s="26"/>
    </row>
    <row r="654" ht="15.75" customHeight="1">
      <c r="E654" s="26"/>
    </row>
    <row r="655" ht="15.75" customHeight="1">
      <c r="E655" s="26"/>
    </row>
    <row r="656" ht="15.75" customHeight="1">
      <c r="E656" s="26"/>
    </row>
    <row r="657" ht="15.75" customHeight="1">
      <c r="E657" s="26"/>
    </row>
    <row r="658" ht="15.75" customHeight="1">
      <c r="E658" s="26"/>
    </row>
    <row r="659" ht="15.75" customHeight="1">
      <c r="E659" s="26"/>
    </row>
    <row r="660" ht="15.75" customHeight="1">
      <c r="E660" s="26"/>
    </row>
    <row r="661" ht="15.75" customHeight="1">
      <c r="E661" s="26"/>
    </row>
    <row r="662" ht="15.75" customHeight="1">
      <c r="E662" s="26"/>
    </row>
    <row r="663" ht="15.75" customHeight="1">
      <c r="E663" s="26"/>
    </row>
    <row r="664" ht="15.75" customHeight="1">
      <c r="E664" s="26"/>
    </row>
    <row r="665" ht="15.75" customHeight="1">
      <c r="E665" s="26"/>
    </row>
    <row r="666" ht="15.75" customHeight="1">
      <c r="E666" s="26"/>
    </row>
    <row r="667" ht="15.75" customHeight="1">
      <c r="E667" s="26"/>
    </row>
    <row r="668" ht="15.75" customHeight="1">
      <c r="E668" s="26"/>
    </row>
    <row r="669" ht="15.75" customHeight="1">
      <c r="E669" s="26"/>
    </row>
    <row r="670" ht="15.75" customHeight="1">
      <c r="E670" s="26"/>
    </row>
    <row r="671" ht="15.75" customHeight="1">
      <c r="E671" s="26"/>
    </row>
    <row r="672" ht="15.75" customHeight="1">
      <c r="E672" s="26"/>
    </row>
    <row r="673" ht="15.75" customHeight="1">
      <c r="E673" s="26"/>
    </row>
    <row r="674" ht="15.75" customHeight="1">
      <c r="E674" s="26"/>
    </row>
    <row r="675" ht="15.75" customHeight="1">
      <c r="E675" s="26"/>
    </row>
    <row r="676" ht="15.75" customHeight="1">
      <c r="E676" s="26"/>
    </row>
    <row r="677" ht="15.75" customHeight="1">
      <c r="E677" s="26"/>
    </row>
    <row r="678" ht="15.75" customHeight="1">
      <c r="E678" s="26"/>
    </row>
    <row r="679" ht="15.75" customHeight="1">
      <c r="E679" s="26"/>
    </row>
    <row r="680" ht="15.75" customHeight="1">
      <c r="E680" s="26"/>
    </row>
    <row r="681" ht="15.75" customHeight="1">
      <c r="E681" s="26"/>
    </row>
    <row r="682" ht="15.75" customHeight="1">
      <c r="E682" s="26"/>
    </row>
    <row r="683" ht="15.75" customHeight="1">
      <c r="E683" s="26"/>
    </row>
    <row r="684" ht="15.75" customHeight="1">
      <c r="E684" s="26"/>
    </row>
    <row r="685" ht="15.75" customHeight="1">
      <c r="E685" s="26"/>
    </row>
    <row r="686" ht="15.75" customHeight="1">
      <c r="E686" s="26"/>
    </row>
    <row r="687" ht="15.75" customHeight="1">
      <c r="E687" s="26"/>
    </row>
    <row r="688" ht="15.75" customHeight="1">
      <c r="E688" s="26"/>
    </row>
    <row r="689" ht="15.75" customHeight="1">
      <c r="E689" s="26"/>
    </row>
    <row r="690" ht="15.75" customHeight="1">
      <c r="E690" s="26"/>
    </row>
    <row r="691" ht="15.75" customHeight="1">
      <c r="E691" s="26"/>
    </row>
    <row r="692" ht="15.75" customHeight="1">
      <c r="E692" s="26"/>
    </row>
    <row r="693" ht="15.75" customHeight="1">
      <c r="E693" s="26"/>
    </row>
    <row r="694" ht="15.75" customHeight="1">
      <c r="E694" s="26"/>
    </row>
    <row r="695" ht="15.75" customHeight="1">
      <c r="E695" s="26"/>
    </row>
    <row r="696" ht="15.75" customHeight="1">
      <c r="E696" s="26"/>
    </row>
    <row r="697" ht="15.75" customHeight="1">
      <c r="E697" s="26"/>
    </row>
    <row r="698" ht="15.75" customHeight="1">
      <c r="E698" s="26"/>
    </row>
    <row r="699" ht="15.75" customHeight="1">
      <c r="E699" s="26"/>
    </row>
    <row r="700" ht="15.75" customHeight="1">
      <c r="E700" s="26"/>
    </row>
    <row r="701" ht="15.75" customHeight="1">
      <c r="E701" s="26"/>
    </row>
    <row r="702" ht="15.75" customHeight="1">
      <c r="E702" s="26"/>
    </row>
    <row r="703" ht="15.75" customHeight="1">
      <c r="E703" s="26"/>
    </row>
    <row r="704" ht="15.75" customHeight="1">
      <c r="E704" s="26"/>
    </row>
    <row r="705" ht="15.75" customHeight="1">
      <c r="E705" s="26"/>
    </row>
    <row r="706" ht="15.75" customHeight="1">
      <c r="E706" s="26"/>
    </row>
    <row r="707" ht="15.75" customHeight="1">
      <c r="E707" s="26"/>
    </row>
    <row r="708" ht="15.75" customHeight="1">
      <c r="E708" s="26"/>
    </row>
    <row r="709" ht="15.75" customHeight="1">
      <c r="E709" s="26"/>
    </row>
    <row r="710" ht="15.75" customHeight="1">
      <c r="E710" s="26"/>
    </row>
    <row r="711" ht="15.75" customHeight="1">
      <c r="E711" s="26"/>
    </row>
    <row r="712" ht="15.75" customHeight="1">
      <c r="E712" s="26"/>
    </row>
    <row r="713" ht="15.75" customHeight="1">
      <c r="E713" s="26"/>
    </row>
    <row r="714" ht="15.75" customHeight="1">
      <c r="E714" s="26"/>
    </row>
    <row r="715" ht="15.75" customHeight="1">
      <c r="E715" s="26"/>
    </row>
    <row r="716" ht="15.75" customHeight="1">
      <c r="E716" s="26"/>
    </row>
    <row r="717" ht="15.75" customHeight="1">
      <c r="E717" s="26"/>
    </row>
    <row r="718" ht="15.75" customHeight="1">
      <c r="E718" s="26"/>
    </row>
    <row r="719" ht="15.75" customHeight="1">
      <c r="E719" s="26"/>
    </row>
    <row r="720" ht="15.75" customHeight="1">
      <c r="E720" s="26"/>
    </row>
    <row r="721" ht="15.75" customHeight="1">
      <c r="E721" s="26"/>
    </row>
    <row r="722" ht="15.75" customHeight="1">
      <c r="E722" s="26"/>
    </row>
    <row r="723" ht="15.75" customHeight="1">
      <c r="E723" s="26"/>
    </row>
    <row r="724" ht="15.75" customHeight="1">
      <c r="E724" s="26"/>
    </row>
    <row r="725" ht="15.75" customHeight="1">
      <c r="E725" s="26"/>
    </row>
    <row r="726" ht="15.75" customHeight="1">
      <c r="E726" s="26"/>
    </row>
    <row r="727" ht="15.75" customHeight="1">
      <c r="E727" s="26"/>
    </row>
    <row r="728" ht="15.75" customHeight="1">
      <c r="E728" s="26"/>
    </row>
    <row r="729" ht="15.75" customHeight="1">
      <c r="E729" s="26"/>
    </row>
    <row r="730" ht="15.75" customHeight="1">
      <c r="E730" s="26"/>
    </row>
    <row r="731" ht="15.75" customHeight="1">
      <c r="E731" s="26"/>
    </row>
    <row r="732" ht="15.75" customHeight="1">
      <c r="E732" s="26"/>
    </row>
    <row r="733" ht="15.75" customHeight="1">
      <c r="E733" s="26"/>
    </row>
    <row r="734" ht="15.75" customHeight="1">
      <c r="E734" s="26"/>
    </row>
    <row r="735" ht="15.75" customHeight="1">
      <c r="E735" s="26"/>
    </row>
    <row r="736" ht="15.75" customHeight="1">
      <c r="E736" s="26"/>
    </row>
    <row r="737" ht="15.75" customHeight="1">
      <c r="E737" s="26"/>
    </row>
    <row r="738" ht="15.75" customHeight="1">
      <c r="E738" s="26"/>
    </row>
    <row r="739" ht="15.75" customHeight="1">
      <c r="E739" s="26"/>
    </row>
    <row r="740" ht="15.75" customHeight="1">
      <c r="E740" s="26"/>
    </row>
    <row r="741" ht="15.75" customHeight="1">
      <c r="E741" s="26"/>
    </row>
    <row r="742" ht="15.75" customHeight="1">
      <c r="E742" s="26"/>
    </row>
    <row r="743" ht="15.75" customHeight="1">
      <c r="E743" s="26"/>
    </row>
    <row r="744" ht="15.75" customHeight="1">
      <c r="E744" s="26"/>
    </row>
    <row r="745" ht="15.75" customHeight="1">
      <c r="E745" s="26"/>
    </row>
    <row r="746" ht="15.75" customHeight="1">
      <c r="E746" s="26"/>
    </row>
    <row r="747" ht="15.75" customHeight="1">
      <c r="E747" s="26"/>
    </row>
    <row r="748" ht="15.75" customHeight="1">
      <c r="E748" s="26"/>
    </row>
    <row r="749" ht="15.75" customHeight="1">
      <c r="E749" s="26"/>
    </row>
    <row r="750" ht="15.75" customHeight="1">
      <c r="E750" s="26"/>
    </row>
    <row r="751" ht="15.75" customHeight="1">
      <c r="E751" s="26"/>
    </row>
    <row r="752" ht="15.75" customHeight="1">
      <c r="E752" s="26"/>
    </row>
    <row r="753" ht="15.75" customHeight="1">
      <c r="E753" s="26"/>
    </row>
    <row r="754" ht="15.75" customHeight="1">
      <c r="E754" s="26"/>
    </row>
    <row r="755" ht="15.75" customHeight="1">
      <c r="E755" s="26"/>
    </row>
    <row r="756" ht="15.75" customHeight="1">
      <c r="E756" s="26"/>
    </row>
    <row r="757" ht="15.75" customHeight="1">
      <c r="E757" s="26"/>
    </row>
    <row r="758" ht="15.75" customHeight="1">
      <c r="E758" s="26"/>
    </row>
    <row r="759" ht="15.75" customHeight="1">
      <c r="E759" s="26"/>
    </row>
    <row r="760" ht="15.75" customHeight="1">
      <c r="E760" s="26"/>
    </row>
    <row r="761" ht="15.75" customHeight="1">
      <c r="E761" s="26"/>
    </row>
    <row r="762" ht="15.75" customHeight="1">
      <c r="E762" s="26"/>
    </row>
    <row r="763" ht="15.75" customHeight="1">
      <c r="E763" s="26"/>
    </row>
    <row r="764" ht="15.75" customHeight="1">
      <c r="E764" s="26"/>
    </row>
    <row r="765" ht="15.75" customHeight="1">
      <c r="E765" s="26"/>
    </row>
    <row r="766" ht="15.75" customHeight="1">
      <c r="E766" s="26"/>
    </row>
    <row r="767" ht="15.75" customHeight="1">
      <c r="E767" s="26"/>
    </row>
    <row r="768" ht="15.75" customHeight="1">
      <c r="E768" s="26"/>
    </row>
    <row r="769" ht="15.75" customHeight="1">
      <c r="E769" s="26"/>
    </row>
    <row r="770" ht="15.75" customHeight="1">
      <c r="E770" s="26"/>
    </row>
    <row r="771" ht="15.75" customHeight="1">
      <c r="E771" s="26"/>
    </row>
    <row r="772" ht="15.75" customHeight="1">
      <c r="E772" s="26"/>
    </row>
    <row r="773" ht="15.75" customHeight="1">
      <c r="E773" s="26"/>
    </row>
    <row r="774" ht="15.75" customHeight="1">
      <c r="E774" s="26"/>
    </row>
    <row r="775" ht="15.75" customHeight="1">
      <c r="E775" s="26"/>
    </row>
    <row r="776" ht="15.75" customHeight="1">
      <c r="E776" s="26"/>
    </row>
    <row r="777" ht="15.75" customHeight="1">
      <c r="E777" s="26"/>
    </row>
    <row r="778" ht="15.75" customHeight="1">
      <c r="E778" s="26"/>
    </row>
    <row r="779" ht="15.75" customHeight="1">
      <c r="E779" s="26"/>
    </row>
    <row r="780" ht="15.75" customHeight="1">
      <c r="E780" s="26"/>
    </row>
    <row r="781" ht="15.75" customHeight="1">
      <c r="E781" s="26"/>
    </row>
    <row r="782" ht="15.75" customHeight="1">
      <c r="E782" s="26"/>
    </row>
    <row r="783" ht="15.75" customHeight="1">
      <c r="E783" s="26"/>
    </row>
    <row r="784" ht="15.75" customHeight="1">
      <c r="E784" s="26"/>
    </row>
    <row r="785" ht="15.75" customHeight="1">
      <c r="E785" s="26"/>
    </row>
    <row r="786" ht="15.75" customHeight="1">
      <c r="E786" s="26"/>
    </row>
    <row r="787" ht="15.75" customHeight="1">
      <c r="E787" s="26"/>
    </row>
    <row r="788" ht="15.75" customHeight="1">
      <c r="E788" s="26"/>
    </row>
    <row r="789" ht="15.75" customHeight="1">
      <c r="E789" s="26"/>
    </row>
    <row r="790" ht="15.75" customHeight="1">
      <c r="E790" s="26"/>
    </row>
    <row r="791" ht="15.75" customHeight="1">
      <c r="E791" s="26"/>
    </row>
    <row r="792" ht="15.75" customHeight="1">
      <c r="E792" s="26"/>
    </row>
    <row r="793" ht="15.75" customHeight="1">
      <c r="E793" s="26"/>
    </row>
    <row r="794" ht="15.75" customHeight="1">
      <c r="E794" s="26"/>
    </row>
    <row r="795" ht="15.75" customHeight="1">
      <c r="E795" s="26"/>
    </row>
    <row r="796" ht="15.75" customHeight="1">
      <c r="E796" s="26"/>
    </row>
    <row r="797" ht="15.75" customHeight="1">
      <c r="E797" s="26"/>
    </row>
    <row r="798" ht="15.75" customHeight="1">
      <c r="E798" s="26"/>
    </row>
    <row r="799" ht="15.75" customHeight="1">
      <c r="E799" s="26"/>
    </row>
    <row r="800" ht="15.75" customHeight="1">
      <c r="E800" s="26"/>
    </row>
    <row r="801" ht="15.75" customHeight="1">
      <c r="E801" s="26"/>
    </row>
    <row r="802" ht="15.75" customHeight="1">
      <c r="E802" s="26"/>
    </row>
    <row r="803" ht="15.75" customHeight="1">
      <c r="E803" s="26"/>
    </row>
    <row r="804" ht="15.75" customHeight="1">
      <c r="E804" s="26"/>
    </row>
    <row r="805" ht="15.75" customHeight="1">
      <c r="E805" s="26"/>
    </row>
    <row r="806" ht="15.75" customHeight="1">
      <c r="E806" s="26"/>
    </row>
    <row r="807" ht="15.75" customHeight="1">
      <c r="E807" s="26"/>
    </row>
    <row r="808" ht="15.75" customHeight="1">
      <c r="E808" s="26"/>
    </row>
    <row r="809" ht="15.75" customHeight="1">
      <c r="E809" s="26"/>
    </row>
    <row r="810" ht="15.75" customHeight="1">
      <c r="E810" s="26"/>
    </row>
    <row r="811" ht="15.75" customHeight="1">
      <c r="E811" s="26"/>
    </row>
    <row r="812" ht="15.75" customHeight="1">
      <c r="E812" s="26"/>
    </row>
    <row r="813" ht="15.75" customHeight="1">
      <c r="E813" s="26"/>
    </row>
    <row r="814" ht="15.75" customHeight="1">
      <c r="E814" s="26"/>
    </row>
    <row r="815" ht="15.75" customHeight="1">
      <c r="E815" s="26"/>
    </row>
    <row r="816" ht="15.75" customHeight="1">
      <c r="E816" s="26"/>
    </row>
    <row r="817" ht="15.75" customHeight="1">
      <c r="E817" s="26"/>
    </row>
    <row r="818" ht="15.75" customHeight="1">
      <c r="E818" s="26"/>
    </row>
    <row r="819" ht="15.75" customHeight="1">
      <c r="E819" s="26"/>
    </row>
    <row r="820" ht="15.75" customHeight="1">
      <c r="E820" s="26"/>
    </row>
    <row r="821" ht="15.75" customHeight="1">
      <c r="E821" s="26"/>
    </row>
    <row r="822" ht="15.75" customHeight="1">
      <c r="E822" s="26"/>
    </row>
    <row r="823" ht="15.75" customHeight="1">
      <c r="E823" s="26"/>
    </row>
    <row r="824" ht="15.75" customHeight="1">
      <c r="E824" s="26"/>
    </row>
    <row r="825" ht="15.75" customHeight="1">
      <c r="E825" s="26"/>
    </row>
    <row r="826" ht="15.75" customHeight="1">
      <c r="E826" s="26"/>
    </row>
    <row r="827" ht="15.75" customHeight="1">
      <c r="E827" s="26"/>
    </row>
    <row r="828" ht="15.75" customHeight="1">
      <c r="E828" s="26"/>
    </row>
    <row r="829" ht="15.75" customHeight="1">
      <c r="E829" s="26"/>
    </row>
    <row r="830" ht="15.75" customHeight="1">
      <c r="E830" s="26"/>
    </row>
    <row r="831" ht="15.75" customHeight="1">
      <c r="E831" s="26"/>
    </row>
    <row r="832" ht="15.75" customHeight="1">
      <c r="E832" s="26"/>
    </row>
    <row r="833" ht="15.75" customHeight="1">
      <c r="E833" s="26"/>
    </row>
    <row r="834" ht="15.75" customHeight="1">
      <c r="E834" s="26"/>
    </row>
    <row r="835" ht="15.75" customHeight="1">
      <c r="E835" s="26"/>
    </row>
    <row r="836" ht="15.75" customHeight="1">
      <c r="E836" s="26"/>
    </row>
    <row r="837" ht="15.75" customHeight="1">
      <c r="E837" s="26"/>
    </row>
    <row r="838" ht="15.75" customHeight="1">
      <c r="E838" s="26"/>
    </row>
    <row r="839" ht="15.75" customHeight="1">
      <c r="E839" s="26"/>
    </row>
    <row r="840" ht="15.75" customHeight="1">
      <c r="E840" s="26"/>
    </row>
    <row r="841" ht="15.75" customHeight="1">
      <c r="E841" s="26"/>
    </row>
    <row r="842" ht="15.75" customHeight="1">
      <c r="E842" s="26"/>
    </row>
    <row r="843" ht="15.75" customHeight="1">
      <c r="E843" s="26"/>
    </row>
    <row r="844" ht="15.75" customHeight="1">
      <c r="E844" s="26"/>
    </row>
    <row r="845" ht="15.75" customHeight="1">
      <c r="E845" s="26"/>
    </row>
    <row r="846" ht="15.75" customHeight="1">
      <c r="E846" s="26"/>
    </row>
    <row r="847" ht="15.75" customHeight="1">
      <c r="E847" s="26"/>
    </row>
    <row r="848" ht="15.75" customHeight="1">
      <c r="E848" s="26"/>
    </row>
    <row r="849" ht="15.75" customHeight="1">
      <c r="E849" s="26"/>
    </row>
    <row r="850" ht="15.75" customHeight="1">
      <c r="E850" s="26"/>
    </row>
    <row r="851" ht="15.75" customHeight="1">
      <c r="E851" s="26"/>
    </row>
    <row r="852" ht="15.75" customHeight="1">
      <c r="E852" s="26"/>
    </row>
    <row r="853" ht="15.75" customHeight="1">
      <c r="E853" s="26"/>
    </row>
    <row r="854" ht="15.75" customHeight="1">
      <c r="E854" s="26"/>
    </row>
    <row r="855" ht="15.75" customHeight="1">
      <c r="E855" s="26"/>
    </row>
    <row r="856" ht="15.75" customHeight="1">
      <c r="E856" s="26"/>
    </row>
    <row r="857" ht="15.75" customHeight="1">
      <c r="E857" s="26"/>
    </row>
    <row r="858" ht="15.75" customHeight="1">
      <c r="E858" s="26"/>
    </row>
    <row r="859" ht="15.75" customHeight="1">
      <c r="E859" s="26"/>
    </row>
    <row r="860" ht="15.75" customHeight="1">
      <c r="E860" s="26"/>
    </row>
    <row r="861" ht="15.75" customHeight="1">
      <c r="E861" s="26"/>
    </row>
    <row r="862" ht="15.75" customHeight="1">
      <c r="E862" s="26"/>
    </row>
    <row r="863" ht="15.75" customHeight="1">
      <c r="E863" s="26"/>
    </row>
    <row r="864" ht="15.75" customHeight="1">
      <c r="E864" s="26"/>
    </row>
    <row r="865" ht="15.75" customHeight="1">
      <c r="E865" s="26"/>
    </row>
    <row r="866" ht="15.75" customHeight="1">
      <c r="E866" s="26"/>
    </row>
    <row r="867" ht="15.75" customHeight="1">
      <c r="E867" s="26"/>
    </row>
    <row r="868" ht="15.75" customHeight="1">
      <c r="E868" s="26"/>
    </row>
    <row r="869" ht="15.75" customHeight="1">
      <c r="E869" s="26"/>
    </row>
    <row r="870" ht="15.75" customHeight="1">
      <c r="E870" s="26"/>
    </row>
    <row r="871" ht="15.75" customHeight="1">
      <c r="E871" s="26"/>
    </row>
    <row r="872" ht="15.75" customHeight="1">
      <c r="E872" s="26"/>
    </row>
    <row r="873" ht="15.75" customHeight="1">
      <c r="E873" s="26"/>
    </row>
    <row r="874" ht="15.75" customHeight="1">
      <c r="E874" s="26"/>
    </row>
    <row r="875" ht="15.75" customHeight="1">
      <c r="E875" s="26"/>
    </row>
    <row r="876" ht="15.75" customHeight="1">
      <c r="E876" s="26"/>
    </row>
    <row r="877" ht="15.75" customHeight="1">
      <c r="E877" s="26"/>
    </row>
    <row r="878" ht="15.75" customHeight="1">
      <c r="E878" s="26"/>
    </row>
    <row r="879" ht="15.75" customHeight="1">
      <c r="E879" s="26"/>
    </row>
    <row r="880" ht="15.75" customHeight="1">
      <c r="E880" s="26"/>
    </row>
    <row r="881" ht="15.75" customHeight="1">
      <c r="E881" s="26"/>
    </row>
    <row r="882" ht="15.75" customHeight="1">
      <c r="E882" s="26"/>
    </row>
    <row r="883" ht="15.75" customHeight="1">
      <c r="E883" s="26"/>
    </row>
    <row r="884" ht="15.75" customHeight="1">
      <c r="E884" s="26"/>
    </row>
    <row r="885" ht="15.75" customHeight="1">
      <c r="E885" s="26"/>
    </row>
    <row r="886" ht="15.75" customHeight="1">
      <c r="E886" s="26"/>
    </row>
    <row r="887" ht="15.75" customHeight="1">
      <c r="E887" s="26"/>
    </row>
    <row r="888" ht="15.75" customHeight="1">
      <c r="E888" s="26"/>
    </row>
    <row r="889" ht="15.75" customHeight="1">
      <c r="E889" s="26"/>
    </row>
    <row r="890" ht="15.75" customHeight="1">
      <c r="E890" s="26"/>
    </row>
    <row r="891" ht="15.75" customHeight="1">
      <c r="E891" s="26"/>
    </row>
    <row r="892" ht="15.75" customHeight="1">
      <c r="E892" s="26"/>
    </row>
    <row r="893" ht="15.75" customHeight="1">
      <c r="E893" s="26"/>
    </row>
    <row r="894" ht="15.75" customHeight="1">
      <c r="E894" s="26"/>
    </row>
    <row r="895" ht="15.75" customHeight="1">
      <c r="E895" s="26"/>
    </row>
    <row r="896" ht="15.75" customHeight="1">
      <c r="E896" s="26"/>
    </row>
    <row r="897" ht="15.75" customHeight="1">
      <c r="E897" s="26"/>
    </row>
    <row r="898" ht="15.75" customHeight="1">
      <c r="E898" s="26"/>
    </row>
    <row r="899" ht="15.75" customHeight="1">
      <c r="E899" s="26"/>
    </row>
    <row r="900" ht="15.75" customHeight="1">
      <c r="E900" s="26"/>
    </row>
    <row r="901" ht="15.75" customHeight="1">
      <c r="E901" s="26"/>
    </row>
    <row r="902" ht="15.75" customHeight="1">
      <c r="E902" s="26"/>
    </row>
    <row r="903" ht="15.75" customHeight="1">
      <c r="E903" s="26"/>
    </row>
    <row r="904" ht="15.75" customHeight="1">
      <c r="E904" s="26"/>
    </row>
    <row r="905" ht="15.75" customHeight="1">
      <c r="E905" s="26"/>
    </row>
    <row r="906" ht="15.75" customHeight="1">
      <c r="E906" s="26"/>
    </row>
    <row r="907" ht="15.75" customHeight="1">
      <c r="E907" s="26"/>
    </row>
    <row r="908" ht="15.75" customHeight="1">
      <c r="E908" s="26"/>
    </row>
    <row r="909" ht="15.75" customHeight="1">
      <c r="E909" s="26"/>
    </row>
    <row r="910" ht="15.75" customHeight="1">
      <c r="E910" s="26"/>
    </row>
    <row r="911" ht="15.75" customHeight="1">
      <c r="E911" s="26"/>
    </row>
    <row r="912" ht="15.75" customHeight="1">
      <c r="E912" s="26"/>
    </row>
    <row r="913" ht="15.75" customHeight="1">
      <c r="E913" s="26"/>
    </row>
    <row r="914" ht="15.75" customHeight="1">
      <c r="E914" s="26"/>
    </row>
    <row r="915" ht="15.75" customHeight="1">
      <c r="E915" s="26"/>
    </row>
    <row r="916" ht="15.75" customHeight="1">
      <c r="E916" s="26"/>
    </row>
    <row r="917" ht="15.75" customHeight="1">
      <c r="E917" s="26"/>
    </row>
    <row r="918" ht="15.75" customHeight="1">
      <c r="E918" s="26"/>
    </row>
    <row r="919" ht="15.75" customHeight="1">
      <c r="E919" s="26"/>
    </row>
    <row r="920" ht="15.75" customHeight="1">
      <c r="E920" s="26"/>
    </row>
    <row r="921" ht="15.75" customHeight="1">
      <c r="E921" s="26"/>
    </row>
    <row r="922" ht="15.75" customHeight="1">
      <c r="E922" s="26"/>
    </row>
    <row r="923" ht="15.75" customHeight="1">
      <c r="E923" s="26"/>
    </row>
    <row r="924" ht="15.75" customHeight="1">
      <c r="E924" s="26"/>
    </row>
    <row r="925" ht="15.75" customHeight="1">
      <c r="E925" s="26"/>
    </row>
    <row r="926" ht="15.75" customHeight="1">
      <c r="E926" s="26"/>
    </row>
    <row r="927" ht="15.75" customHeight="1">
      <c r="E927" s="26"/>
    </row>
    <row r="928" ht="15.75" customHeight="1">
      <c r="E928" s="26"/>
    </row>
    <row r="929" ht="15.75" customHeight="1">
      <c r="E929" s="26"/>
    </row>
    <row r="930" ht="15.75" customHeight="1">
      <c r="E930" s="26"/>
    </row>
    <row r="931" ht="15.75" customHeight="1">
      <c r="E931" s="26"/>
    </row>
    <row r="932" ht="15.75" customHeight="1">
      <c r="E932" s="26"/>
    </row>
    <row r="933" ht="15.75" customHeight="1">
      <c r="E933" s="26"/>
    </row>
    <row r="934" ht="15.75" customHeight="1">
      <c r="E934" s="26"/>
    </row>
    <row r="935" ht="15.75" customHeight="1">
      <c r="E935" s="26"/>
    </row>
    <row r="936" ht="15.75" customHeight="1">
      <c r="E936" s="26"/>
    </row>
    <row r="937" ht="15.75" customHeight="1">
      <c r="E937" s="26"/>
    </row>
    <row r="938" ht="15.75" customHeight="1">
      <c r="E938" s="26"/>
    </row>
    <row r="939" ht="15.75" customHeight="1">
      <c r="E939" s="26"/>
    </row>
    <row r="940" ht="15.75" customHeight="1">
      <c r="E940" s="26"/>
    </row>
    <row r="941" ht="15.75" customHeight="1">
      <c r="E941" s="26"/>
    </row>
    <row r="942" ht="15.75" customHeight="1">
      <c r="E942" s="26"/>
    </row>
    <row r="943" ht="15.75" customHeight="1">
      <c r="E943" s="26"/>
    </row>
    <row r="944" ht="15.75" customHeight="1">
      <c r="E944" s="26"/>
    </row>
    <row r="945" ht="15.75" customHeight="1">
      <c r="E945" s="26"/>
    </row>
    <row r="946" ht="15.75" customHeight="1">
      <c r="E946" s="26"/>
    </row>
    <row r="947" ht="15.75" customHeight="1">
      <c r="E947" s="26"/>
    </row>
    <row r="948" ht="15.75" customHeight="1">
      <c r="E948" s="26"/>
    </row>
    <row r="949" ht="15.75" customHeight="1">
      <c r="E949" s="26"/>
    </row>
    <row r="950" ht="15.75" customHeight="1">
      <c r="E950" s="26"/>
    </row>
    <row r="951" ht="15.75" customHeight="1">
      <c r="E951" s="26"/>
    </row>
    <row r="952" ht="15.75" customHeight="1">
      <c r="E952" s="26"/>
    </row>
    <row r="953" ht="15.75" customHeight="1">
      <c r="E953" s="26"/>
    </row>
    <row r="954" ht="15.75" customHeight="1">
      <c r="E954" s="26"/>
    </row>
    <row r="955" ht="15.75" customHeight="1">
      <c r="E955" s="26"/>
    </row>
    <row r="956" ht="15.75" customHeight="1">
      <c r="E956" s="26"/>
    </row>
    <row r="957" ht="15.75" customHeight="1">
      <c r="E957" s="26"/>
    </row>
    <row r="958" ht="15.75" customHeight="1">
      <c r="E958" s="26"/>
    </row>
    <row r="959" ht="15.75" customHeight="1">
      <c r="E959" s="26"/>
    </row>
    <row r="960" ht="15.75" customHeight="1">
      <c r="E960" s="26"/>
    </row>
    <row r="961" ht="15.75" customHeight="1">
      <c r="E961" s="26"/>
    </row>
    <row r="962" ht="15.75" customHeight="1">
      <c r="E962" s="26"/>
    </row>
    <row r="963" ht="15.75" customHeight="1">
      <c r="E963" s="26"/>
    </row>
    <row r="964" ht="15.75" customHeight="1">
      <c r="E964" s="26"/>
    </row>
    <row r="965" ht="15.75" customHeight="1">
      <c r="E965" s="26"/>
    </row>
    <row r="966" ht="15.75" customHeight="1">
      <c r="E966" s="26"/>
    </row>
    <row r="967" ht="15.75" customHeight="1">
      <c r="E967" s="26"/>
    </row>
    <row r="968" ht="15.75" customHeight="1">
      <c r="E968" s="26"/>
    </row>
    <row r="969" ht="15.75" customHeight="1">
      <c r="E969" s="26"/>
    </row>
    <row r="970" ht="15.75" customHeight="1">
      <c r="E970" s="26"/>
    </row>
    <row r="971" ht="15.75" customHeight="1">
      <c r="E971" s="26"/>
    </row>
    <row r="972" ht="15.75" customHeight="1">
      <c r="E972" s="26"/>
    </row>
    <row r="973" ht="15.75" customHeight="1">
      <c r="E973" s="26"/>
    </row>
    <row r="974" ht="15.75" customHeight="1">
      <c r="E974" s="26"/>
    </row>
    <row r="975" ht="15.75" customHeight="1">
      <c r="E975" s="26"/>
    </row>
    <row r="976" ht="15.75" customHeight="1">
      <c r="E976" s="26"/>
    </row>
    <row r="977" ht="15.75" customHeight="1">
      <c r="E977" s="26"/>
    </row>
    <row r="978" ht="15.75" customHeight="1">
      <c r="E978" s="26"/>
    </row>
    <row r="979" ht="15.75" customHeight="1">
      <c r="E979" s="26"/>
    </row>
    <row r="980" ht="15.75" customHeight="1">
      <c r="E980" s="26"/>
    </row>
    <row r="981" ht="15.75" customHeight="1">
      <c r="E981" s="26"/>
    </row>
    <row r="982" ht="15.75" customHeight="1">
      <c r="E982" s="26"/>
    </row>
    <row r="983" ht="15.75" customHeight="1">
      <c r="E983" s="26"/>
    </row>
    <row r="984" ht="15.75" customHeight="1">
      <c r="E984" s="26"/>
    </row>
    <row r="985" ht="15.75" customHeight="1">
      <c r="E985" s="26"/>
    </row>
    <row r="986" ht="15.75" customHeight="1">
      <c r="E986" s="26"/>
    </row>
    <row r="987" ht="15.75" customHeight="1">
      <c r="E987" s="26"/>
    </row>
    <row r="988" ht="15.75" customHeight="1">
      <c r="E988" s="26"/>
    </row>
    <row r="989" ht="15.75" customHeight="1">
      <c r="E989" s="26"/>
    </row>
    <row r="990" ht="15.75" customHeight="1">
      <c r="E990" s="26"/>
    </row>
    <row r="991" ht="15.75" customHeight="1">
      <c r="E991" s="26"/>
    </row>
    <row r="992" ht="15.75" customHeight="1">
      <c r="E992" s="26"/>
    </row>
    <row r="993" ht="15.75" customHeight="1">
      <c r="E993" s="26"/>
    </row>
    <row r="994" ht="15.75" customHeight="1">
      <c r="E994" s="26"/>
    </row>
    <row r="995" ht="15.75" customHeight="1">
      <c r="E995" s="26"/>
    </row>
    <row r="996" ht="15.75" customHeight="1">
      <c r="E996" s="26"/>
    </row>
    <row r="997" ht="15.75" customHeight="1">
      <c r="E997" s="26"/>
    </row>
    <row r="998" ht="15.75" customHeight="1">
      <c r="E998" s="26"/>
    </row>
    <row r="999" ht="15.75" customHeight="1">
      <c r="E999" s="26"/>
    </row>
    <row r="1000" ht="15.75" customHeight="1">
      <c r="E1000" s="26"/>
    </row>
  </sheetData>
  <mergeCells count="27">
    <mergeCell ref="AK4:AQ4"/>
    <mergeCell ref="AR4:AX4"/>
    <mergeCell ref="AY4:BE4"/>
    <mergeCell ref="BF4:BL4"/>
    <mergeCell ref="B1:E1"/>
    <mergeCell ref="E2:F2"/>
    <mergeCell ref="E3:F3"/>
    <mergeCell ref="I4:O4"/>
    <mergeCell ref="P4:V4"/>
    <mergeCell ref="W4:AC4"/>
    <mergeCell ref="AD4:AJ4"/>
    <mergeCell ref="B9:C9"/>
    <mergeCell ref="B10:C10"/>
    <mergeCell ref="B11:C11"/>
    <mergeCell ref="B12:C12"/>
    <mergeCell ref="B13:C13"/>
    <mergeCell ref="B14:C14"/>
    <mergeCell ref="B15:C15"/>
    <mergeCell ref="B24:C24"/>
    <mergeCell ref="B25:C25"/>
    <mergeCell ref="B16:C16"/>
    <mergeCell ref="B17:C17"/>
    <mergeCell ref="B19:C19"/>
    <mergeCell ref="B20:C20"/>
    <mergeCell ref="B21:C21"/>
    <mergeCell ref="B22:C22"/>
    <mergeCell ref="B23:C23"/>
  </mergeCells>
  <conditionalFormatting sqref="I8:BL24">
    <cfRule type="notContainsBlanks" dxfId="0" priority="1">
      <formula>LEN(TRIM(I8))&gt;0</formula>
    </cfRule>
  </conditionalFormatting>
  <dataValidations>
    <dataValidation type="decimal" operator="greaterThanOrEqual" allowBlank="1" showInputMessage="1" prompt="Display Week - Changing this number will scroll the Gantt Chart view." sqref="E4">
      <formula1>1.0</formula1>
    </dataValidation>
  </dataValidations>
  <hyperlinks>
    <hyperlink r:id="rId2" ref="B43"/>
    <hyperlink r:id="rId3" ref="B44"/>
  </hyperlinks>
  <printOptions/>
  <pageMargins bottom="0.5" footer="0.0" header="0.0" left="0.35" right="0.35" top="0.35"/>
  <pageSetup fitToHeight="0"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6"/>
    <col customWidth="1" min="2" max="2" width="87.14"/>
    <col customWidth="1" min="3" max="6" width="9.14"/>
    <col customWidth="1" min="7" max="26" width="8.71"/>
  </cols>
  <sheetData>
    <row r="1" ht="46.5" customHeight="1">
      <c r="A1" s="2"/>
      <c r="B1" s="3"/>
      <c r="C1" s="2"/>
      <c r="D1" s="2"/>
      <c r="E1" s="2"/>
      <c r="F1" s="2"/>
      <c r="G1" s="2"/>
      <c r="H1" s="2"/>
      <c r="I1" s="2"/>
      <c r="J1" s="2"/>
      <c r="K1" s="2"/>
      <c r="L1" s="2"/>
      <c r="M1" s="2"/>
      <c r="N1" s="2"/>
      <c r="O1" s="2"/>
      <c r="P1" s="2"/>
      <c r="Q1" s="2"/>
      <c r="R1" s="2"/>
      <c r="S1" s="2"/>
      <c r="T1" s="2"/>
      <c r="U1" s="2"/>
      <c r="V1" s="2"/>
      <c r="W1" s="2"/>
      <c r="X1" s="2"/>
      <c r="Y1" s="2"/>
      <c r="Z1" s="2"/>
    </row>
    <row r="2" ht="12.75" customHeight="1">
      <c r="A2" s="5"/>
      <c r="B2" s="10" t="s">
        <v>1</v>
      </c>
      <c r="C2" s="12"/>
      <c r="D2" s="5"/>
      <c r="E2" s="5"/>
      <c r="F2" s="5"/>
      <c r="G2" s="5"/>
      <c r="H2" s="5"/>
      <c r="I2" s="5"/>
      <c r="J2" s="5"/>
      <c r="K2" s="5"/>
      <c r="L2" s="5"/>
      <c r="M2" s="5"/>
      <c r="N2" s="5"/>
      <c r="O2" s="5"/>
      <c r="P2" s="5"/>
      <c r="Q2" s="5"/>
      <c r="R2" s="5"/>
      <c r="S2" s="5"/>
      <c r="T2" s="5"/>
      <c r="U2" s="5"/>
      <c r="V2" s="5"/>
      <c r="W2" s="5"/>
      <c r="X2" s="5"/>
      <c r="Y2" s="5"/>
      <c r="Z2" s="5"/>
    </row>
    <row r="3" ht="13.5" customHeight="1">
      <c r="A3" s="13"/>
      <c r="B3" s="15" t="s">
        <v>8</v>
      </c>
      <c r="C3" s="16"/>
      <c r="D3" s="13"/>
      <c r="E3" s="13"/>
      <c r="F3" s="13"/>
      <c r="G3" s="13"/>
      <c r="H3" s="13"/>
      <c r="I3" s="13"/>
      <c r="J3" s="13"/>
      <c r="K3" s="13"/>
      <c r="L3" s="13"/>
      <c r="M3" s="13"/>
      <c r="N3" s="13"/>
      <c r="O3" s="13"/>
      <c r="P3" s="13"/>
      <c r="Q3" s="13"/>
      <c r="R3" s="13"/>
      <c r="S3" s="13"/>
      <c r="T3" s="13"/>
      <c r="U3" s="13"/>
      <c r="V3" s="13"/>
      <c r="W3" s="13"/>
      <c r="X3" s="13"/>
      <c r="Y3" s="13"/>
      <c r="Z3" s="13"/>
    </row>
    <row r="4" ht="12.75" customHeight="1">
      <c r="A4" s="2"/>
      <c r="B4" s="17" t="s">
        <v>9</v>
      </c>
      <c r="C4" s="2"/>
      <c r="D4" s="2"/>
      <c r="E4" s="2"/>
      <c r="F4" s="2"/>
      <c r="G4" s="2"/>
      <c r="H4" s="2"/>
      <c r="I4" s="2"/>
      <c r="J4" s="2"/>
      <c r="K4" s="2"/>
      <c r="L4" s="2"/>
      <c r="M4" s="2"/>
      <c r="N4" s="2"/>
      <c r="O4" s="2"/>
      <c r="P4" s="2"/>
      <c r="Q4" s="2"/>
      <c r="R4" s="2"/>
      <c r="S4" s="2"/>
      <c r="T4" s="2"/>
      <c r="U4" s="2"/>
      <c r="V4" s="2"/>
      <c r="W4" s="2"/>
      <c r="X4" s="2"/>
      <c r="Y4" s="2"/>
      <c r="Z4" s="2"/>
    </row>
    <row r="5" ht="12.75" customHeight="1">
      <c r="A5" s="2"/>
      <c r="B5" s="3"/>
      <c r="C5" s="2"/>
      <c r="D5" s="2"/>
      <c r="E5" s="2"/>
      <c r="F5" s="2"/>
      <c r="G5" s="2"/>
      <c r="H5" s="2"/>
      <c r="I5" s="2"/>
      <c r="J5" s="2"/>
      <c r="K5" s="2"/>
      <c r="L5" s="2"/>
      <c r="M5" s="2"/>
      <c r="N5" s="2"/>
      <c r="O5" s="2"/>
      <c r="P5" s="2"/>
      <c r="Q5" s="2"/>
      <c r="R5" s="2"/>
      <c r="S5" s="2"/>
      <c r="T5" s="2"/>
      <c r="U5" s="2"/>
      <c r="V5" s="2"/>
      <c r="W5" s="2"/>
      <c r="X5" s="2"/>
      <c r="Y5" s="2"/>
      <c r="Z5" s="2"/>
    </row>
    <row r="6" ht="12.75" customHeight="1">
      <c r="A6" s="19"/>
      <c r="B6" s="21" t="s">
        <v>10</v>
      </c>
      <c r="C6" s="19"/>
      <c r="D6" s="19"/>
      <c r="E6" s="19"/>
      <c r="F6" s="19"/>
      <c r="G6" s="19"/>
      <c r="H6" s="19"/>
      <c r="I6" s="19"/>
      <c r="J6" s="19"/>
      <c r="K6" s="19"/>
      <c r="L6" s="19"/>
      <c r="M6" s="19"/>
      <c r="N6" s="19"/>
      <c r="O6" s="19"/>
      <c r="P6" s="19"/>
      <c r="Q6" s="19"/>
      <c r="R6" s="19"/>
      <c r="S6" s="19"/>
      <c r="T6" s="19"/>
      <c r="U6" s="19"/>
      <c r="V6" s="19"/>
      <c r="W6" s="19"/>
      <c r="X6" s="19"/>
      <c r="Y6" s="19"/>
      <c r="Z6" s="19"/>
    </row>
    <row r="7" ht="12.75" customHeight="1">
      <c r="A7" s="2"/>
      <c r="B7" s="23" t="s">
        <v>11</v>
      </c>
      <c r="C7" s="2"/>
      <c r="D7" s="2"/>
      <c r="E7" s="2"/>
      <c r="F7" s="2"/>
      <c r="G7" s="2"/>
      <c r="H7" s="2"/>
      <c r="I7" s="2"/>
      <c r="J7" s="2"/>
      <c r="K7" s="2"/>
      <c r="L7" s="2"/>
      <c r="M7" s="2"/>
      <c r="N7" s="2"/>
      <c r="O7" s="2"/>
      <c r="P7" s="2"/>
      <c r="Q7" s="2"/>
      <c r="R7" s="2"/>
      <c r="S7" s="2"/>
      <c r="T7" s="2"/>
      <c r="U7" s="2"/>
      <c r="V7" s="2"/>
      <c r="W7" s="2"/>
      <c r="X7" s="2"/>
      <c r="Y7" s="2"/>
      <c r="Z7" s="2"/>
    </row>
    <row r="8" ht="12.75" customHeight="1">
      <c r="A8" s="2"/>
      <c r="B8" s="24"/>
      <c r="C8" s="2"/>
      <c r="D8" s="2"/>
      <c r="E8" s="2"/>
      <c r="F8" s="2"/>
      <c r="G8" s="2"/>
      <c r="H8" s="2"/>
      <c r="I8" s="2"/>
      <c r="J8" s="2"/>
      <c r="K8" s="2"/>
      <c r="L8" s="2"/>
      <c r="M8" s="2"/>
      <c r="N8" s="2"/>
      <c r="O8" s="2"/>
      <c r="P8" s="2"/>
      <c r="Q8" s="2"/>
      <c r="R8" s="2"/>
      <c r="S8" s="2"/>
      <c r="T8" s="2"/>
      <c r="U8" s="2"/>
      <c r="V8" s="2"/>
      <c r="W8" s="2"/>
      <c r="X8" s="2"/>
      <c r="Y8" s="2"/>
      <c r="Z8" s="2"/>
    </row>
    <row r="9" ht="12.75" customHeight="1">
      <c r="A9" s="19"/>
      <c r="B9" s="21" t="s">
        <v>12</v>
      </c>
      <c r="C9" s="19"/>
      <c r="D9" s="19"/>
      <c r="E9" s="19"/>
      <c r="F9" s="19"/>
      <c r="G9" s="19"/>
      <c r="H9" s="19"/>
      <c r="I9" s="19"/>
      <c r="J9" s="19"/>
      <c r="K9" s="19"/>
      <c r="L9" s="19"/>
      <c r="M9" s="19"/>
      <c r="N9" s="19"/>
      <c r="O9" s="19"/>
      <c r="P9" s="19"/>
      <c r="Q9" s="19"/>
      <c r="R9" s="19"/>
      <c r="S9" s="19"/>
      <c r="T9" s="19"/>
      <c r="U9" s="19"/>
      <c r="V9" s="19"/>
      <c r="W9" s="19"/>
      <c r="X9" s="19"/>
      <c r="Y9" s="19"/>
      <c r="Z9" s="19"/>
    </row>
    <row r="10" ht="12.75" customHeight="1">
      <c r="A10" s="2"/>
      <c r="B10" s="23" t="s">
        <v>13</v>
      </c>
      <c r="C10" s="2"/>
      <c r="D10" s="2"/>
      <c r="E10" s="2"/>
      <c r="F10" s="2"/>
      <c r="G10" s="2"/>
      <c r="H10" s="2"/>
      <c r="I10" s="2"/>
      <c r="J10" s="2"/>
      <c r="K10" s="2"/>
      <c r="L10" s="2"/>
      <c r="M10" s="2"/>
      <c r="N10" s="2"/>
      <c r="O10" s="2"/>
      <c r="P10" s="2"/>
      <c r="Q10" s="2"/>
      <c r="R10" s="2"/>
      <c r="S10" s="2"/>
      <c r="T10" s="2"/>
      <c r="U10" s="2"/>
      <c r="V10" s="2"/>
      <c r="W10" s="2"/>
      <c r="X10" s="2"/>
      <c r="Y10" s="2"/>
      <c r="Z10" s="2"/>
    </row>
    <row r="11" ht="12.75" customHeight="1">
      <c r="A11" s="2"/>
      <c r="B11" s="25" t="s">
        <v>14</v>
      </c>
      <c r="C11" s="2"/>
      <c r="D11" s="2"/>
      <c r="E11" s="2"/>
      <c r="F11" s="2"/>
      <c r="G11" s="2"/>
      <c r="H11" s="2"/>
      <c r="I11" s="2"/>
      <c r="J11" s="2"/>
      <c r="K11" s="2"/>
      <c r="L11" s="2"/>
      <c r="M11" s="2"/>
      <c r="N11" s="2"/>
      <c r="O11" s="2"/>
      <c r="P11" s="2"/>
      <c r="Q11" s="2"/>
      <c r="R11" s="2"/>
      <c r="S11" s="2"/>
      <c r="T11" s="2"/>
      <c r="U11" s="2"/>
      <c r="V11" s="2"/>
      <c r="W11" s="2"/>
      <c r="X11" s="2"/>
      <c r="Y11" s="2"/>
      <c r="Z11" s="2"/>
    </row>
    <row r="12" ht="12.75" customHeight="1">
      <c r="A12" s="2"/>
      <c r="B12" s="24"/>
      <c r="C12" s="2"/>
      <c r="D12" s="2"/>
      <c r="E12" s="2"/>
      <c r="F12" s="2"/>
      <c r="G12" s="2"/>
      <c r="H12" s="2"/>
      <c r="I12" s="2"/>
      <c r="J12" s="2"/>
      <c r="K12" s="2"/>
      <c r="L12" s="2"/>
      <c r="M12" s="2"/>
      <c r="N12" s="2"/>
      <c r="O12" s="2"/>
      <c r="P12" s="2"/>
      <c r="Q12" s="2"/>
      <c r="R12" s="2"/>
      <c r="S12" s="2"/>
      <c r="T12" s="2"/>
      <c r="U12" s="2"/>
      <c r="V12" s="2"/>
      <c r="W12" s="2"/>
      <c r="X12" s="2"/>
      <c r="Y12" s="2"/>
      <c r="Z12" s="2"/>
    </row>
    <row r="13" ht="12.75" customHeight="1">
      <c r="A13" s="2"/>
      <c r="B13" s="25" t="str">
        <f>HYPERLINK("https://vertex42.link/HowToMakeAGanttChart","► Watch How This Gantt Chart Was Created")</f>
        <v>► Watch How This Gantt Chart Was Created</v>
      </c>
      <c r="C13" s="2"/>
      <c r="D13" s="2"/>
      <c r="E13" s="2"/>
      <c r="F13" s="2"/>
      <c r="G13" s="2"/>
      <c r="H13" s="2"/>
      <c r="I13" s="2"/>
      <c r="J13" s="2"/>
      <c r="K13" s="2"/>
      <c r="L13" s="2"/>
      <c r="M13" s="2"/>
      <c r="N13" s="2"/>
      <c r="O13" s="2"/>
      <c r="P13" s="2"/>
      <c r="Q13" s="2"/>
      <c r="R13" s="2"/>
      <c r="S13" s="2"/>
      <c r="T13" s="2"/>
      <c r="U13" s="2"/>
      <c r="V13" s="2"/>
      <c r="W13" s="2"/>
      <c r="X13" s="2"/>
      <c r="Y13" s="2"/>
      <c r="Z13" s="2"/>
    </row>
    <row r="14" ht="12.75" customHeight="1">
      <c r="A14" s="2"/>
      <c r="B14" s="24"/>
      <c r="C14" s="2"/>
      <c r="D14" s="2"/>
      <c r="E14" s="2"/>
      <c r="F14" s="2"/>
      <c r="G14" s="2"/>
      <c r="H14" s="2"/>
      <c r="I14" s="2"/>
      <c r="J14" s="2"/>
      <c r="K14" s="2"/>
      <c r="L14" s="2"/>
      <c r="M14" s="2"/>
      <c r="N14" s="2"/>
      <c r="O14" s="2"/>
      <c r="P14" s="2"/>
      <c r="Q14" s="2"/>
      <c r="R14" s="2"/>
      <c r="S14" s="2"/>
      <c r="T14" s="2"/>
      <c r="U14" s="2"/>
      <c r="V14" s="2"/>
      <c r="W14" s="2"/>
      <c r="X14" s="2"/>
      <c r="Y14" s="2"/>
      <c r="Z14" s="2"/>
    </row>
    <row r="15" ht="12.75" customHeight="1">
      <c r="A15" s="19"/>
      <c r="B15" s="21" t="s">
        <v>15</v>
      </c>
      <c r="C15" s="19"/>
      <c r="D15" s="19"/>
      <c r="E15" s="19"/>
      <c r="F15" s="19"/>
      <c r="G15" s="19"/>
      <c r="H15" s="19"/>
      <c r="I15" s="19"/>
      <c r="J15" s="19"/>
      <c r="K15" s="19"/>
      <c r="L15" s="19"/>
      <c r="M15" s="19"/>
      <c r="N15" s="19"/>
      <c r="O15" s="19"/>
      <c r="P15" s="19"/>
      <c r="Q15" s="19"/>
      <c r="R15" s="19"/>
      <c r="S15" s="19"/>
      <c r="T15" s="19"/>
      <c r="U15" s="19"/>
      <c r="V15" s="19"/>
      <c r="W15" s="19"/>
      <c r="X15" s="19"/>
      <c r="Y15" s="19"/>
      <c r="Z15" s="19"/>
    </row>
    <row r="16" ht="12.75" customHeight="1">
      <c r="A16" s="2"/>
      <c r="B16" s="23" t="s">
        <v>16</v>
      </c>
      <c r="C16" s="2"/>
      <c r="D16" s="2"/>
      <c r="E16" s="2"/>
      <c r="F16" s="2"/>
      <c r="G16" s="2"/>
      <c r="H16" s="2"/>
      <c r="I16" s="2"/>
      <c r="J16" s="2"/>
      <c r="K16" s="2"/>
      <c r="L16" s="2"/>
      <c r="M16" s="2"/>
      <c r="N16" s="2"/>
      <c r="O16" s="2"/>
      <c r="P16" s="2"/>
      <c r="Q16" s="2"/>
      <c r="R16" s="2"/>
      <c r="S16" s="2"/>
      <c r="T16" s="2"/>
      <c r="U16" s="2"/>
      <c r="V16" s="2"/>
      <c r="W16" s="2"/>
      <c r="X16" s="2"/>
      <c r="Y16" s="2"/>
      <c r="Z16" s="2"/>
    </row>
    <row r="17" ht="12.75" customHeight="1">
      <c r="A17" s="2"/>
      <c r="B17" s="25" t="s">
        <v>17</v>
      </c>
      <c r="C17" s="2"/>
      <c r="D17" s="2"/>
      <c r="E17" s="2"/>
      <c r="F17" s="2"/>
      <c r="G17" s="2"/>
      <c r="H17" s="2"/>
      <c r="I17" s="2"/>
      <c r="J17" s="2"/>
      <c r="K17" s="2"/>
      <c r="L17" s="2"/>
      <c r="M17" s="2"/>
      <c r="N17" s="2"/>
      <c r="O17" s="2"/>
      <c r="P17" s="2"/>
      <c r="Q17" s="2"/>
      <c r="R17" s="2"/>
      <c r="S17" s="2"/>
      <c r="T17" s="2"/>
      <c r="U17" s="2"/>
      <c r="V17" s="2"/>
      <c r="W17" s="2"/>
      <c r="X17" s="2"/>
      <c r="Y17" s="2"/>
      <c r="Z17" s="2"/>
    </row>
    <row r="18" ht="12.75" customHeight="1">
      <c r="A18" s="2"/>
      <c r="B18" s="24"/>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19"/>
      <c r="B19" s="21" t="s">
        <v>18</v>
      </c>
      <c r="C19" s="19"/>
      <c r="D19" s="19"/>
      <c r="E19" s="19"/>
      <c r="F19" s="19"/>
      <c r="G19" s="19"/>
      <c r="H19" s="19"/>
      <c r="I19" s="19"/>
      <c r="J19" s="19"/>
      <c r="K19" s="19"/>
      <c r="L19" s="19"/>
      <c r="M19" s="19"/>
      <c r="N19" s="19"/>
      <c r="O19" s="19"/>
      <c r="P19" s="19"/>
      <c r="Q19" s="19"/>
      <c r="R19" s="19"/>
      <c r="S19" s="19"/>
      <c r="T19" s="19"/>
      <c r="U19" s="19"/>
      <c r="V19" s="19"/>
      <c r="W19" s="19"/>
      <c r="X19" s="19"/>
      <c r="Y19" s="19"/>
      <c r="Z19" s="19"/>
    </row>
    <row r="20" ht="12.75" customHeight="1">
      <c r="A20" s="2"/>
      <c r="B20" s="23" t="s">
        <v>19</v>
      </c>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2"/>
      <c r="B21" s="24"/>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2"/>
      <c r="B22" s="23" t="s">
        <v>20</v>
      </c>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2"/>
      <c r="B23" s="3"/>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2"/>
      <c r="B24" s="3"/>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2"/>
      <c r="B25" s="3"/>
      <c r="C25" s="2"/>
      <c r="D25" s="2"/>
      <c r="E25" s="2"/>
      <c r="F25" s="2"/>
      <c r="G25" s="2"/>
      <c r="H25" s="2"/>
      <c r="I25" s="2"/>
      <c r="J25" s="2"/>
      <c r="K25" s="2"/>
      <c r="L25" s="2"/>
      <c r="M25" s="2"/>
      <c r="N25" s="2"/>
      <c r="O25" s="2"/>
      <c r="P25" s="2"/>
      <c r="Q25" s="2"/>
      <c r="R25" s="2"/>
      <c r="S25" s="2"/>
      <c r="T25" s="2"/>
      <c r="U25" s="2"/>
      <c r="V25" s="2"/>
      <c r="W25" s="2"/>
      <c r="X25" s="2"/>
      <c r="Y25" s="2"/>
      <c r="Z25" s="2"/>
    </row>
    <row r="26" ht="12.75" customHeight="1">
      <c r="A26" s="2"/>
      <c r="B26" s="3"/>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2"/>
      <c r="B27" s="3"/>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2"/>
      <c r="B28" s="3"/>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2"/>
      <c r="B29" s="3"/>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2"/>
      <c r="B30" s="3"/>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2"/>
      <c r="B31" s="3"/>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2"/>
      <c r="B32" s="3"/>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2"/>
      <c r="B33" s="3"/>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2"/>
      <c r="B34" s="3"/>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2"/>
      <c r="B35" s="3"/>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2"/>
      <c r="B36" s="3"/>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2"/>
      <c r="B37" s="3"/>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2"/>
      <c r="B38" s="3"/>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2"/>
      <c r="B39" s="3"/>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2"/>
      <c r="B40" s="3"/>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2"/>
      <c r="B41" s="3"/>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2"/>
      <c r="B42" s="3"/>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2"/>
      <c r="B43" s="3"/>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2"/>
      <c r="B44" s="3"/>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2"/>
      <c r="B45" s="3"/>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2"/>
      <c r="B46" s="3"/>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2"/>
      <c r="B47" s="3"/>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2"/>
      <c r="B48" s="3"/>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2"/>
      <c r="B49" s="3"/>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2"/>
      <c r="B50" s="3"/>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2"/>
      <c r="B51" s="3"/>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3"/>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3"/>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3"/>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3"/>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3"/>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3"/>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3"/>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3"/>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3"/>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3"/>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3"/>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3"/>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3"/>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3"/>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3"/>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3"/>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3"/>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3"/>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3"/>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3"/>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3"/>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3"/>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3"/>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3"/>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3"/>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3"/>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3"/>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3"/>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3"/>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3"/>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3"/>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3"/>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3"/>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3"/>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3"/>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3"/>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3"/>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3"/>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3"/>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3"/>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3"/>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3"/>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3"/>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3"/>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3"/>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3"/>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3"/>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3"/>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3"/>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3"/>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3"/>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3"/>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3"/>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3"/>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3"/>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3"/>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3"/>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3"/>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3"/>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3"/>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3"/>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3"/>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3"/>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3"/>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3"/>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3"/>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3"/>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3"/>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3"/>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3"/>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3"/>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3"/>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3"/>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3"/>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3"/>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3"/>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3"/>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3"/>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3"/>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3"/>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3"/>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3"/>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3"/>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3"/>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3"/>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3"/>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3"/>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3"/>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3"/>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3"/>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3"/>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3"/>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3"/>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3"/>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3"/>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3"/>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3"/>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3"/>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3"/>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3"/>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3"/>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3"/>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3"/>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3"/>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3"/>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3"/>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3"/>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3"/>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3"/>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3"/>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3"/>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3"/>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3"/>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3"/>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3"/>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3"/>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3"/>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3"/>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3"/>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3"/>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3"/>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3"/>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3"/>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3"/>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3"/>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3"/>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3"/>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3"/>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3"/>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3"/>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3"/>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3"/>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3"/>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3"/>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3"/>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3"/>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3"/>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3"/>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3"/>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3"/>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3"/>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3"/>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3"/>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3"/>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3"/>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3"/>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3"/>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3"/>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3"/>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3"/>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3"/>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3"/>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3"/>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3"/>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3"/>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3"/>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3"/>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3"/>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3"/>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3"/>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3"/>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3"/>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3"/>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3"/>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3"/>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3"/>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3"/>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3"/>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2"/>
      <c r="B220" s="3"/>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2"/>
      <c r="B221" s="3"/>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2"/>
      <c r="B222" s="3"/>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2"/>
      <c r="B223" s="3"/>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2"/>
      <c r="B224" s="3"/>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2"/>
      <c r="B225" s="3"/>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2"/>
      <c r="B226" s="3"/>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2"/>
      <c r="B227" s="3"/>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2"/>
      <c r="B228" s="3"/>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2"/>
      <c r="B229" s="3"/>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2"/>
      <c r="B230" s="3"/>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2"/>
      <c r="B231" s="3"/>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2"/>
      <c r="B232" s="3"/>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2"/>
      <c r="B233" s="3"/>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2"/>
      <c r="B234" s="3"/>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2"/>
      <c r="B235" s="3"/>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2"/>
      <c r="B236" s="3"/>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2"/>
      <c r="B237" s="3"/>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2"/>
      <c r="B238" s="3"/>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2"/>
      <c r="B239" s="3"/>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2"/>
      <c r="B240" s="3"/>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2"/>
      <c r="B241" s="3"/>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2"/>
      <c r="B242" s="3"/>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2"/>
      <c r="B243" s="3"/>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2"/>
      <c r="B244" s="3"/>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2"/>
      <c r="B245" s="3"/>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2"/>
      <c r="B246" s="3"/>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2"/>
      <c r="B247" s="3"/>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2"/>
      <c r="B248" s="3"/>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2"/>
      <c r="B249" s="3"/>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2"/>
      <c r="B250" s="3"/>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2"/>
      <c r="B251" s="3"/>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2"/>
      <c r="B252" s="3"/>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2"/>
      <c r="B253" s="3"/>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2"/>
      <c r="B254" s="3"/>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2"/>
      <c r="B255" s="3"/>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2"/>
      <c r="B256" s="3"/>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2"/>
      <c r="B257" s="3"/>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2"/>
      <c r="B258" s="3"/>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2"/>
      <c r="B259" s="3"/>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2"/>
      <c r="B260" s="3"/>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2"/>
      <c r="B261" s="3"/>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2"/>
      <c r="B262" s="3"/>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2"/>
      <c r="B263" s="3"/>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2"/>
      <c r="B264" s="3"/>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2"/>
      <c r="B265" s="3"/>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2"/>
      <c r="B266" s="3"/>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2"/>
      <c r="B267" s="3"/>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2"/>
      <c r="B268" s="3"/>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2"/>
      <c r="B269" s="3"/>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2"/>
      <c r="B270" s="3"/>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2"/>
      <c r="B271" s="3"/>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2"/>
      <c r="B272" s="3"/>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2"/>
      <c r="B273" s="3"/>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2"/>
      <c r="B274" s="3"/>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2"/>
      <c r="B275" s="3"/>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2"/>
      <c r="B276" s="3"/>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2"/>
      <c r="B277" s="3"/>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2"/>
      <c r="B278" s="3"/>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2"/>
      <c r="B279" s="3"/>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2"/>
      <c r="B280" s="3"/>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2"/>
      <c r="B281" s="3"/>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2"/>
      <c r="B282" s="3"/>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2"/>
      <c r="B283" s="3"/>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2"/>
      <c r="B284" s="3"/>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2"/>
      <c r="B285" s="3"/>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2"/>
      <c r="B286" s="3"/>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2"/>
      <c r="B287" s="3"/>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2"/>
      <c r="B288" s="3"/>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2"/>
      <c r="B289" s="3"/>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2"/>
      <c r="B290" s="3"/>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2"/>
      <c r="B291" s="3"/>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2"/>
      <c r="B292" s="3"/>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2"/>
      <c r="B293" s="3"/>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2"/>
      <c r="B294" s="3"/>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2"/>
      <c r="B295" s="3"/>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2"/>
      <c r="B296" s="3"/>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2"/>
      <c r="B297" s="3"/>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2"/>
      <c r="B298" s="3"/>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2"/>
      <c r="B299" s="3"/>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2"/>
      <c r="B300" s="3"/>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2"/>
      <c r="B301" s="3"/>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2"/>
      <c r="B302" s="3"/>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2"/>
      <c r="B303" s="3"/>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2"/>
      <c r="B304" s="3"/>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2"/>
      <c r="B305" s="3"/>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2"/>
      <c r="B306" s="3"/>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2"/>
      <c r="B307" s="3"/>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2"/>
      <c r="B308" s="3"/>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2"/>
      <c r="B309" s="3"/>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2"/>
      <c r="B310" s="3"/>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2"/>
      <c r="B311" s="3"/>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2"/>
      <c r="B312" s="3"/>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2"/>
      <c r="B313" s="3"/>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2"/>
      <c r="B314" s="3"/>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2"/>
      <c r="B315" s="3"/>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2"/>
      <c r="B316" s="3"/>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2"/>
      <c r="B317" s="3"/>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2"/>
      <c r="B318" s="3"/>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2"/>
      <c r="B319" s="3"/>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2"/>
      <c r="B320" s="3"/>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2"/>
      <c r="B321" s="3"/>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2"/>
      <c r="B322" s="3"/>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2"/>
      <c r="B323" s="3"/>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2"/>
      <c r="B324" s="3"/>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2"/>
      <c r="B325" s="3"/>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2"/>
      <c r="B326" s="3"/>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2"/>
      <c r="B327" s="3"/>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2"/>
      <c r="B328" s="3"/>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2"/>
      <c r="B329" s="3"/>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2"/>
      <c r="B330" s="3"/>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2"/>
      <c r="B331" s="3"/>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2"/>
      <c r="B332" s="3"/>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2"/>
      <c r="B333" s="3"/>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2"/>
      <c r="B334" s="3"/>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2"/>
      <c r="B335" s="3"/>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2"/>
      <c r="B336" s="3"/>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2"/>
      <c r="B337" s="3"/>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2"/>
      <c r="B338" s="3"/>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2"/>
      <c r="B339" s="3"/>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2"/>
      <c r="B340" s="3"/>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2"/>
      <c r="B341" s="3"/>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2"/>
      <c r="B342" s="3"/>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2"/>
      <c r="B343" s="3"/>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2"/>
      <c r="B344" s="3"/>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2"/>
      <c r="B345" s="3"/>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2"/>
      <c r="B346" s="3"/>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2"/>
      <c r="B347" s="3"/>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2"/>
      <c r="B348" s="3"/>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2"/>
      <c r="B349" s="3"/>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2"/>
      <c r="B350" s="3"/>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2"/>
      <c r="B351" s="3"/>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2"/>
      <c r="B352" s="3"/>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2"/>
      <c r="B353" s="3"/>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2"/>
      <c r="B354" s="3"/>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2"/>
      <c r="B355" s="3"/>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2"/>
      <c r="B356" s="3"/>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2"/>
      <c r="B357" s="3"/>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2"/>
      <c r="B358" s="3"/>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2"/>
      <c r="B359" s="3"/>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2"/>
      <c r="B360" s="3"/>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2"/>
      <c r="B361" s="3"/>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2"/>
      <c r="B362" s="3"/>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2"/>
      <c r="B363" s="3"/>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2"/>
      <c r="B364" s="3"/>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2"/>
      <c r="B365" s="3"/>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2"/>
      <c r="B366" s="3"/>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2"/>
      <c r="B367" s="3"/>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2"/>
      <c r="B368" s="3"/>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2"/>
      <c r="B369" s="3"/>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2"/>
      <c r="B370" s="3"/>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2"/>
      <c r="B371" s="3"/>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2"/>
      <c r="B372" s="3"/>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2"/>
      <c r="B373" s="3"/>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2"/>
      <c r="B374" s="3"/>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2"/>
      <c r="B375" s="3"/>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2"/>
      <c r="B376" s="3"/>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2"/>
      <c r="B377" s="3"/>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2"/>
      <c r="B378" s="3"/>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2"/>
      <c r="B379" s="3"/>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2"/>
      <c r="B380" s="3"/>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2"/>
      <c r="B381" s="3"/>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2"/>
      <c r="B382" s="3"/>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2"/>
      <c r="B383" s="3"/>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2"/>
      <c r="B384" s="3"/>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2"/>
      <c r="B385" s="3"/>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2"/>
      <c r="B386" s="3"/>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2"/>
      <c r="B387" s="3"/>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2"/>
      <c r="B388" s="3"/>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2"/>
      <c r="B389" s="3"/>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2"/>
      <c r="B390" s="3"/>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2"/>
      <c r="B391" s="3"/>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2"/>
      <c r="B392" s="3"/>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2"/>
      <c r="B393" s="3"/>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2"/>
      <c r="B394" s="3"/>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2"/>
      <c r="B395" s="3"/>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2"/>
      <c r="B396" s="3"/>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2"/>
      <c r="B397" s="3"/>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2"/>
      <c r="B398" s="3"/>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2"/>
      <c r="B399" s="3"/>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2"/>
      <c r="B400" s="3"/>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2"/>
      <c r="B401" s="3"/>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2"/>
      <c r="B402" s="3"/>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2"/>
      <c r="B403" s="3"/>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2"/>
      <c r="B404" s="3"/>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2"/>
      <c r="B405" s="3"/>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2"/>
      <c r="B406" s="3"/>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2"/>
      <c r="B407" s="3"/>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2"/>
      <c r="B408" s="3"/>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2"/>
      <c r="B409" s="3"/>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2"/>
      <c r="B410" s="3"/>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2"/>
      <c r="B411" s="3"/>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2"/>
      <c r="B412" s="3"/>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2"/>
      <c r="B413" s="3"/>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2"/>
      <c r="B414" s="3"/>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2"/>
      <c r="B415" s="3"/>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2"/>
      <c r="B416" s="3"/>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2"/>
      <c r="B417" s="3"/>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2"/>
      <c r="B418" s="3"/>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2"/>
      <c r="B419" s="3"/>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2"/>
      <c r="B420" s="3"/>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2"/>
      <c r="B421" s="3"/>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2"/>
      <c r="B422" s="3"/>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2"/>
      <c r="B423" s="3"/>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2"/>
      <c r="B424" s="3"/>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2"/>
      <c r="B425" s="3"/>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2"/>
      <c r="B426" s="3"/>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2"/>
      <c r="B427" s="3"/>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2"/>
      <c r="B428" s="3"/>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2"/>
      <c r="B429" s="3"/>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2"/>
      <c r="B430" s="3"/>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2"/>
      <c r="B431" s="3"/>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2"/>
      <c r="B432" s="3"/>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2"/>
      <c r="B433" s="3"/>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2"/>
      <c r="B434" s="3"/>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2"/>
      <c r="B435" s="3"/>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2"/>
      <c r="B436" s="3"/>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2"/>
      <c r="B437" s="3"/>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2"/>
      <c r="B438" s="3"/>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2"/>
      <c r="B439" s="3"/>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2"/>
      <c r="B440" s="3"/>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2"/>
      <c r="B441" s="3"/>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2"/>
      <c r="B442" s="3"/>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2"/>
      <c r="B443" s="3"/>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2"/>
      <c r="B444" s="3"/>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2"/>
      <c r="B445" s="3"/>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2"/>
      <c r="B446" s="3"/>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2"/>
      <c r="B447" s="3"/>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2"/>
      <c r="B448" s="3"/>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2"/>
      <c r="B449" s="3"/>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2"/>
      <c r="B450" s="3"/>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2"/>
      <c r="B451" s="3"/>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2"/>
      <c r="B452" s="3"/>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2"/>
      <c r="B453" s="3"/>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2"/>
      <c r="B454" s="3"/>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2"/>
      <c r="B455" s="3"/>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2"/>
      <c r="B456" s="3"/>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2"/>
      <c r="B457" s="3"/>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2"/>
      <c r="B458" s="3"/>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2"/>
      <c r="B459" s="3"/>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2"/>
      <c r="B460" s="3"/>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2"/>
      <c r="B461" s="3"/>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2"/>
      <c r="B462" s="3"/>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2"/>
      <c r="B463" s="3"/>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2"/>
      <c r="B464" s="3"/>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2"/>
      <c r="B465" s="3"/>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2"/>
      <c r="B466" s="3"/>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2"/>
      <c r="B467" s="3"/>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2"/>
      <c r="B468" s="3"/>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2"/>
      <c r="B469" s="3"/>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2"/>
      <c r="B470" s="3"/>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2"/>
      <c r="B471" s="3"/>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2"/>
      <c r="B472" s="3"/>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2"/>
      <c r="B473" s="3"/>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2"/>
      <c r="B474" s="3"/>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2"/>
      <c r="B475" s="3"/>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2"/>
      <c r="B476" s="3"/>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2"/>
      <c r="B477" s="3"/>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2"/>
      <c r="B478" s="3"/>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2"/>
      <c r="B479" s="3"/>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2"/>
      <c r="B480" s="3"/>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2"/>
      <c r="B481" s="3"/>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2"/>
      <c r="B482" s="3"/>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2"/>
      <c r="B483" s="3"/>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2"/>
      <c r="B484" s="3"/>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2"/>
      <c r="B485" s="3"/>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2"/>
      <c r="B486" s="3"/>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2"/>
      <c r="B487" s="3"/>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2"/>
      <c r="B488" s="3"/>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2"/>
      <c r="B489" s="3"/>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2"/>
      <c r="B490" s="3"/>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2"/>
      <c r="B491" s="3"/>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2"/>
      <c r="B492" s="3"/>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2"/>
      <c r="B493" s="3"/>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2"/>
      <c r="B494" s="3"/>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2"/>
      <c r="B495" s="3"/>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2"/>
      <c r="B496" s="3"/>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2"/>
      <c r="B497" s="3"/>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2"/>
      <c r="B498" s="3"/>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2"/>
      <c r="B499" s="3"/>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2"/>
      <c r="B500" s="3"/>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2"/>
      <c r="B501" s="3"/>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2"/>
      <c r="B502" s="3"/>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2"/>
      <c r="B503" s="3"/>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2"/>
      <c r="B504" s="3"/>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2"/>
      <c r="B505" s="3"/>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2"/>
      <c r="B506" s="3"/>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2"/>
      <c r="B507" s="3"/>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2"/>
      <c r="B508" s="3"/>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2"/>
      <c r="B509" s="3"/>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2"/>
      <c r="B510" s="3"/>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2"/>
      <c r="B511" s="3"/>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2"/>
      <c r="B512" s="3"/>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2"/>
      <c r="B513" s="3"/>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2"/>
      <c r="B514" s="3"/>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2"/>
      <c r="B515" s="3"/>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2"/>
      <c r="B516" s="3"/>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2"/>
      <c r="B517" s="3"/>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2"/>
      <c r="B518" s="3"/>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2"/>
      <c r="B519" s="3"/>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2"/>
      <c r="B520" s="3"/>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2"/>
      <c r="B521" s="3"/>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2"/>
      <c r="B522" s="3"/>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2"/>
      <c r="B523" s="3"/>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2"/>
      <c r="B524" s="3"/>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2"/>
      <c r="B525" s="3"/>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2"/>
      <c r="B526" s="3"/>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2"/>
      <c r="B527" s="3"/>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2"/>
      <c r="B528" s="3"/>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2"/>
      <c r="B529" s="3"/>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2"/>
      <c r="B530" s="3"/>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2"/>
      <c r="B531" s="3"/>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2"/>
      <c r="B532" s="3"/>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2"/>
      <c r="B533" s="3"/>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2"/>
      <c r="B534" s="3"/>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2"/>
      <c r="B535" s="3"/>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2"/>
      <c r="B536" s="3"/>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2"/>
      <c r="B537" s="3"/>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2"/>
      <c r="B538" s="3"/>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2"/>
      <c r="B539" s="3"/>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2"/>
      <c r="B540" s="3"/>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2"/>
      <c r="B541" s="3"/>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2"/>
      <c r="B542" s="3"/>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2"/>
      <c r="B543" s="3"/>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2"/>
      <c r="B544" s="3"/>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2"/>
      <c r="B545" s="3"/>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2"/>
      <c r="B546" s="3"/>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2"/>
      <c r="B547" s="3"/>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2"/>
      <c r="B548" s="3"/>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2"/>
      <c r="B549" s="3"/>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2"/>
      <c r="B550" s="3"/>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2"/>
      <c r="B551" s="3"/>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2"/>
      <c r="B552" s="3"/>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2"/>
      <c r="B553" s="3"/>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2"/>
      <c r="B554" s="3"/>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2"/>
      <c r="B555" s="3"/>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2"/>
      <c r="B556" s="3"/>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2"/>
      <c r="B557" s="3"/>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2"/>
      <c r="B558" s="3"/>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2"/>
      <c r="B559" s="3"/>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2"/>
      <c r="B560" s="3"/>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2"/>
      <c r="B561" s="3"/>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2"/>
      <c r="B562" s="3"/>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2"/>
      <c r="B563" s="3"/>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2"/>
      <c r="B564" s="3"/>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2"/>
      <c r="B565" s="3"/>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2"/>
      <c r="B566" s="3"/>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2"/>
      <c r="B567" s="3"/>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2"/>
      <c r="B568" s="3"/>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2"/>
      <c r="B569" s="3"/>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2"/>
      <c r="B570" s="3"/>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2"/>
      <c r="B571" s="3"/>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2"/>
      <c r="B572" s="3"/>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2"/>
      <c r="B573" s="3"/>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2"/>
      <c r="B574" s="3"/>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2"/>
      <c r="B575" s="3"/>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2"/>
      <c r="B576" s="3"/>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2"/>
      <c r="B577" s="3"/>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2"/>
      <c r="B578" s="3"/>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2"/>
      <c r="B579" s="3"/>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2"/>
      <c r="B580" s="3"/>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2"/>
      <c r="B581" s="3"/>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2"/>
      <c r="B582" s="3"/>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2"/>
      <c r="B583" s="3"/>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2"/>
      <c r="B584" s="3"/>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2"/>
      <c r="B585" s="3"/>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2"/>
      <c r="B586" s="3"/>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2"/>
      <c r="B587" s="3"/>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2"/>
      <c r="B588" s="3"/>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2"/>
      <c r="B589" s="3"/>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2"/>
      <c r="B590" s="3"/>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2"/>
      <c r="B591" s="3"/>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2"/>
      <c r="B592" s="3"/>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2"/>
      <c r="B593" s="3"/>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2"/>
      <c r="B594" s="3"/>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2"/>
      <c r="B595" s="3"/>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2"/>
      <c r="B596" s="3"/>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2"/>
      <c r="B597" s="3"/>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2"/>
      <c r="B598" s="3"/>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2"/>
      <c r="B599" s="3"/>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2"/>
      <c r="B600" s="3"/>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2"/>
      <c r="B601" s="3"/>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2"/>
      <c r="B602" s="3"/>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2"/>
      <c r="B603" s="3"/>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2"/>
      <c r="B604" s="3"/>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2"/>
      <c r="B605" s="3"/>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2"/>
      <c r="B606" s="3"/>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2"/>
      <c r="B607" s="3"/>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2"/>
      <c r="B608" s="3"/>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2"/>
      <c r="B609" s="3"/>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2"/>
      <c r="B610" s="3"/>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2"/>
      <c r="B611" s="3"/>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2"/>
      <c r="B612" s="3"/>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2"/>
      <c r="B613" s="3"/>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2"/>
      <c r="B614" s="3"/>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2"/>
      <c r="B615" s="3"/>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2"/>
      <c r="B616" s="3"/>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2"/>
      <c r="B617" s="3"/>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2"/>
      <c r="B618" s="3"/>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2"/>
      <c r="B619" s="3"/>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2"/>
      <c r="B620" s="3"/>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2"/>
      <c r="B621" s="3"/>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2"/>
      <c r="B622" s="3"/>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2"/>
      <c r="B623" s="3"/>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2"/>
      <c r="B624" s="3"/>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2"/>
      <c r="B625" s="3"/>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2"/>
      <c r="B626" s="3"/>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2"/>
      <c r="B627" s="3"/>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2"/>
      <c r="B628" s="3"/>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2"/>
      <c r="B629" s="3"/>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2"/>
      <c r="B630" s="3"/>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2"/>
      <c r="B631" s="3"/>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2"/>
      <c r="B632" s="3"/>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2"/>
      <c r="B633" s="3"/>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2"/>
      <c r="B634" s="3"/>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2"/>
      <c r="B635" s="3"/>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2"/>
      <c r="B636" s="3"/>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2"/>
      <c r="B637" s="3"/>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2"/>
      <c r="B638" s="3"/>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2"/>
      <c r="B639" s="3"/>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2"/>
      <c r="B640" s="3"/>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2"/>
      <c r="B641" s="3"/>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2"/>
      <c r="B642" s="3"/>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2"/>
      <c r="B643" s="3"/>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2"/>
      <c r="B644" s="3"/>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2"/>
      <c r="B645" s="3"/>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2"/>
      <c r="B646" s="3"/>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2"/>
      <c r="B647" s="3"/>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2"/>
      <c r="B648" s="3"/>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2"/>
      <c r="B649" s="3"/>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2"/>
      <c r="B650" s="3"/>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2"/>
      <c r="B651" s="3"/>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2"/>
      <c r="B652" s="3"/>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2"/>
      <c r="B653" s="3"/>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2"/>
      <c r="B654" s="3"/>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2"/>
      <c r="B655" s="3"/>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2"/>
      <c r="B656" s="3"/>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2"/>
      <c r="B657" s="3"/>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2"/>
      <c r="B658" s="3"/>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2"/>
      <c r="B659" s="3"/>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2"/>
      <c r="B660" s="3"/>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2"/>
      <c r="B661" s="3"/>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2"/>
      <c r="B662" s="3"/>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2"/>
      <c r="B663" s="3"/>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2"/>
      <c r="B664" s="3"/>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2"/>
      <c r="B665" s="3"/>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2"/>
      <c r="B666" s="3"/>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2"/>
      <c r="B667" s="3"/>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2"/>
      <c r="B668" s="3"/>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2"/>
      <c r="B669" s="3"/>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2"/>
      <c r="B670" s="3"/>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2"/>
      <c r="B671" s="3"/>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2"/>
      <c r="B672" s="3"/>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2"/>
      <c r="B673" s="3"/>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2"/>
      <c r="B674" s="3"/>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2"/>
      <c r="B675" s="3"/>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2"/>
      <c r="B676" s="3"/>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2"/>
      <c r="B677" s="3"/>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2"/>
      <c r="B678" s="3"/>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2"/>
      <c r="B679" s="3"/>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2"/>
      <c r="B680" s="3"/>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2"/>
      <c r="B681" s="3"/>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2"/>
      <c r="B682" s="3"/>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2"/>
      <c r="B683" s="3"/>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2"/>
      <c r="B684" s="3"/>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2"/>
      <c r="B685" s="3"/>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2"/>
      <c r="B686" s="3"/>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2"/>
      <c r="B687" s="3"/>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2"/>
      <c r="B688" s="3"/>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2"/>
      <c r="B689" s="3"/>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2"/>
      <c r="B690" s="3"/>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2"/>
      <c r="B691" s="3"/>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2"/>
      <c r="B692" s="3"/>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2"/>
      <c r="B693" s="3"/>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2"/>
      <c r="B694" s="3"/>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2"/>
      <c r="B695" s="3"/>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2"/>
      <c r="B696" s="3"/>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2"/>
      <c r="B697" s="3"/>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2"/>
      <c r="B698" s="3"/>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2"/>
      <c r="B699" s="3"/>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2"/>
      <c r="B700" s="3"/>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2"/>
      <c r="B701" s="3"/>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2"/>
      <c r="B702" s="3"/>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2"/>
      <c r="B703" s="3"/>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2"/>
      <c r="B704" s="3"/>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2"/>
      <c r="B705" s="3"/>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2"/>
      <c r="B706" s="3"/>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2"/>
      <c r="B707" s="3"/>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2"/>
      <c r="B708" s="3"/>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2"/>
      <c r="B709" s="3"/>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2"/>
      <c r="B710" s="3"/>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2"/>
      <c r="B711" s="3"/>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2"/>
      <c r="B712" s="3"/>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2"/>
      <c r="B713" s="3"/>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2"/>
      <c r="B714" s="3"/>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2"/>
      <c r="B715" s="3"/>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2"/>
      <c r="B716" s="3"/>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2"/>
      <c r="B717" s="3"/>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2"/>
      <c r="B718" s="3"/>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2"/>
      <c r="B719" s="3"/>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2"/>
      <c r="B720" s="3"/>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2"/>
      <c r="B721" s="3"/>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2"/>
      <c r="B722" s="3"/>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2"/>
      <c r="B723" s="3"/>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2"/>
      <c r="B724" s="3"/>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2"/>
      <c r="B725" s="3"/>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2"/>
      <c r="B726" s="3"/>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2"/>
      <c r="B727" s="3"/>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2"/>
      <c r="B728" s="3"/>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2"/>
      <c r="B729" s="3"/>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2"/>
      <c r="B730" s="3"/>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2"/>
      <c r="B731" s="3"/>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2"/>
      <c r="B732" s="3"/>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2"/>
      <c r="B733" s="3"/>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2"/>
      <c r="B734" s="3"/>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2"/>
      <c r="B735" s="3"/>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2"/>
      <c r="B736" s="3"/>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2"/>
      <c r="B737" s="3"/>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2"/>
      <c r="B738" s="3"/>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2"/>
      <c r="B739" s="3"/>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2"/>
      <c r="B740" s="3"/>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2"/>
      <c r="B741" s="3"/>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2"/>
      <c r="B742" s="3"/>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2"/>
      <c r="B743" s="3"/>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2"/>
      <c r="B744" s="3"/>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2"/>
      <c r="B745" s="3"/>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2"/>
      <c r="B746" s="3"/>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2"/>
      <c r="B747" s="3"/>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2"/>
      <c r="B748" s="3"/>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2"/>
      <c r="B749" s="3"/>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2"/>
      <c r="B750" s="3"/>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2"/>
      <c r="B751" s="3"/>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2"/>
      <c r="B752" s="3"/>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2"/>
      <c r="B753" s="3"/>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2"/>
      <c r="B754" s="3"/>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2"/>
      <c r="B755" s="3"/>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2"/>
      <c r="B756" s="3"/>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2"/>
      <c r="B757" s="3"/>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2"/>
      <c r="B758" s="3"/>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2"/>
      <c r="B759" s="3"/>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2"/>
      <c r="B760" s="3"/>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2"/>
      <c r="B761" s="3"/>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2"/>
      <c r="B762" s="3"/>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2"/>
      <c r="B763" s="3"/>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2"/>
      <c r="B764" s="3"/>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2"/>
      <c r="B765" s="3"/>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2"/>
      <c r="B766" s="3"/>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2"/>
      <c r="B767" s="3"/>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2"/>
      <c r="B768" s="3"/>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2"/>
      <c r="B769" s="3"/>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2"/>
      <c r="B770" s="3"/>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2"/>
      <c r="B771" s="3"/>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2"/>
      <c r="B772" s="3"/>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2"/>
      <c r="B773" s="3"/>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2"/>
      <c r="B774" s="3"/>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2"/>
      <c r="B775" s="3"/>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2"/>
      <c r="B776" s="3"/>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2"/>
      <c r="B777" s="3"/>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2"/>
      <c r="B778" s="3"/>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2"/>
      <c r="B779" s="3"/>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2"/>
      <c r="B780" s="3"/>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2"/>
      <c r="B781" s="3"/>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2"/>
      <c r="B782" s="3"/>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2"/>
      <c r="B783" s="3"/>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2"/>
      <c r="B784" s="3"/>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2"/>
      <c r="B785" s="3"/>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2"/>
      <c r="B786" s="3"/>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2"/>
      <c r="B787" s="3"/>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2"/>
      <c r="B788" s="3"/>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2"/>
      <c r="B789" s="3"/>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2"/>
      <c r="B790" s="3"/>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2"/>
      <c r="B791" s="3"/>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2"/>
      <c r="B792" s="3"/>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2"/>
      <c r="B793" s="3"/>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2"/>
      <c r="B794" s="3"/>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2"/>
      <c r="B795" s="3"/>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2"/>
      <c r="B796" s="3"/>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2"/>
      <c r="B797" s="3"/>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2"/>
      <c r="B798" s="3"/>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2"/>
      <c r="B799" s="3"/>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2"/>
      <c r="B800" s="3"/>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2"/>
      <c r="B801" s="3"/>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2"/>
      <c r="B802" s="3"/>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2"/>
      <c r="B803" s="3"/>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2"/>
      <c r="B804" s="3"/>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2"/>
      <c r="B805" s="3"/>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2"/>
      <c r="B806" s="3"/>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2"/>
      <c r="B807" s="3"/>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2"/>
      <c r="B808" s="3"/>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2"/>
      <c r="B809" s="3"/>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2"/>
      <c r="B810" s="3"/>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2"/>
      <c r="B811" s="3"/>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2"/>
      <c r="B812" s="3"/>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2"/>
      <c r="B813" s="3"/>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2"/>
      <c r="B814" s="3"/>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2"/>
      <c r="B815" s="3"/>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2"/>
      <c r="B816" s="3"/>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2"/>
      <c r="B817" s="3"/>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2"/>
      <c r="B818" s="3"/>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2"/>
      <c r="B819" s="3"/>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2"/>
      <c r="B820" s="3"/>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2"/>
      <c r="B821" s="3"/>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2"/>
      <c r="B822" s="3"/>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2"/>
      <c r="B823" s="3"/>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2"/>
      <c r="B824" s="3"/>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2"/>
      <c r="B825" s="3"/>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2"/>
      <c r="B826" s="3"/>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2"/>
      <c r="B827" s="3"/>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2"/>
      <c r="B828" s="3"/>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2"/>
      <c r="B829" s="3"/>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2"/>
      <c r="B830" s="3"/>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2"/>
      <c r="B831" s="3"/>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2"/>
      <c r="B832" s="3"/>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2"/>
      <c r="B833" s="3"/>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2"/>
      <c r="B834" s="3"/>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2"/>
      <c r="B835" s="3"/>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2"/>
      <c r="B836" s="3"/>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2"/>
      <c r="B837" s="3"/>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2"/>
      <c r="B838" s="3"/>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2"/>
      <c r="B839" s="3"/>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2"/>
      <c r="B840" s="3"/>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2"/>
      <c r="B841" s="3"/>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2"/>
      <c r="B842" s="3"/>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2"/>
      <c r="B843" s="3"/>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2"/>
      <c r="B844" s="3"/>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2"/>
      <c r="B845" s="3"/>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2"/>
      <c r="B846" s="3"/>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2"/>
      <c r="B847" s="3"/>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2"/>
      <c r="B848" s="3"/>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2"/>
      <c r="B849" s="3"/>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2"/>
      <c r="B850" s="3"/>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2"/>
      <c r="B851" s="3"/>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2"/>
      <c r="B852" s="3"/>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2"/>
      <c r="B853" s="3"/>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2"/>
      <c r="B854" s="3"/>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2"/>
      <c r="B855" s="3"/>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2"/>
      <c r="B856" s="3"/>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2"/>
      <c r="B857" s="3"/>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2"/>
      <c r="B858" s="3"/>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2"/>
      <c r="B859" s="3"/>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2"/>
      <c r="B860" s="3"/>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2"/>
      <c r="B861" s="3"/>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2"/>
      <c r="B862" s="3"/>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2"/>
      <c r="B863" s="3"/>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2"/>
      <c r="B864" s="3"/>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2"/>
      <c r="B865" s="3"/>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2"/>
      <c r="B866" s="3"/>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2"/>
      <c r="B867" s="3"/>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2"/>
      <c r="B868" s="3"/>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2"/>
      <c r="B869" s="3"/>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2"/>
      <c r="B870" s="3"/>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2"/>
      <c r="B871" s="3"/>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2"/>
      <c r="B872" s="3"/>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2"/>
      <c r="B873" s="3"/>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2"/>
      <c r="B874" s="3"/>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2"/>
      <c r="B875" s="3"/>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2"/>
      <c r="B876" s="3"/>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2"/>
      <c r="B877" s="3"/>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2"/>
      <c r="B878" s="3"/>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2"/>
      <c r="B879" s="3"/>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2"/>
      <c r="B880" s="3"/>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2"/>
      <c r="B881" s="3"/>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2"/>
      <c r="B882" s="3"/>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2"/>
      <c r="B883" s="3"/>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2"/>
      <c r="B884" s="3"/>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2"/>
      <c r="B885" s="3"/>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2"/>
      <c r="B886" s="3"/>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2"/>
      <c r="B887" s="3"/>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2"/>
      <c r="B888" s="3"/>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2"/>
      <c r="B889" s="3"/>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2"/>
      <c r="B890" s="3"/>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2"/>
      <c r="B891" s="3"/>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2"/>
      <c r="B892" s="3"/>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2"/>
      <c r="B893" s="3"/>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2"/>
      <c r="B894" s="3"/>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2"/>
      <c r="B895" s="3"/>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2"/>
      <c r="B896" s="3"/>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2"/>
      <c r="B897" s="3"/>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2"/>
      <c r="B898" s="3"/>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2"/>
      <c r="B899" s="3"/>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2"/>
      <c r="B900" s="3"/>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2"/>
      <c r="B901" s="3"/>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2"/>
      <c r="B902" s="3"/>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2"/>
      <c r="B903" s="3"/>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2"/>
      <c r="B904" s="3"/>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2"/>
      <c r="B905" s="3"/>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2"/>
      <c r="B906" s="3"/>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2"/>
      <c r="B907" s="3"/>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2"/>
      <c r="B908" s="3"/>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2"/>
      <c r="B909" s="3"/>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2"/>
      <c r="B910" s="3"/>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2"/>
      <c r="B911" s="3"/>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2"/>
      <c r="B912" s="3"/>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2"/>
      <c r="B913" s="3"/>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2"/>
      <c r="B914" s="3"/>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2"/>
      <c r="B915" s="3"/>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2"/>
      <c r="B916" s="3"/>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2"/>
      <c r="B917" s="3"/>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2"/>
      <c r="B918" s="3"/>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2"/>
      <c r="B919" s="3"/>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2"/>
      <c r="B920" s="3"/>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2"/>
      <c r="B921" s="3"/>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2"/>
      <c r="B922" s="3"/>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2"/>
      <c r="B923" s="3"/>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2"/>
      <c r="B924" s="3"/>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2"/>
      <c r="B925" s="3"/>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2"/>
      <c r="B926" s="3"/>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2"/>
      <c r="B927" s="3"/>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2"/>
      <c r="B928" s="3"/>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2"/>
      <c r="B929" s="3"/>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2"/>
      <c r="B930" s="3"/>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2"/>
      <c r="B931" s="3"/>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2"/>
      <c r="B932" s="3"/>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2"/>
      <c r="B933" s="3"/>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2"/>
      <c r="B934" s="3"/>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2"/>
      <c r="B935" s="3"/>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2"/>
      <c r="B936" s="3"/>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2"/>
      <c r="B937" s="3"/>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2"/>
      <c r="B938" s="3"/>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2"/>
      <c r="B939" s="3"/>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2"/>
      <c r="B940" s="3"/>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2"/>
      <c r="B941" s="3"/>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2"/>
      <c r="B942" s="3"/>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2"/>
      <c r="B943" s="3"/>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2"/>
      <c r="B944" s="3"/>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2"/>
      <c r="B945" s="3"/>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2"/>
      <c r="B946" s="3"/>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2"/>
      <c r="B947" s="3"/>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2"/>
      <c r="B948" s="3"/>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2"/>
      <c r="B949" s="3"/>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2"/>
      <c r="B950" s="3"/>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2"/>
      <c r="B951" s="3"/>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2"/>
      <c r="B952" s="3"/>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2"/>
      <c r="B953" s="3"/>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2"/>
      <c r="B954" s="3"/>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2"/>
      <c r="B955" s="3"/>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2"/>
      <c r="B956" s="3"/>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2"/>
      <c r="B957" s="3"/>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2"/>
      <c r="B958" s="3"/>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2"/>
      <c r="B959" s="3"/>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2"/>
      <c r="B960" s="3"/>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2"/>
      <c r="B961" s="3"/>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2"/>
      <c r="B962" s="3"/>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2"/>
      <c r="B963" s="3"/>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2"/>
      <c r="B964" s="3"/>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2"/>
      <c r="B965" s="3"/>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2"/>
      <c r="B966" s="3"/>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2"/>
      <c r="B967" s="3"/>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2"/>
      <c r="B968" s="3"/>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2"/>
      <c r="B969" s="3"/>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2"/>
      <c r="B970" s="3"/>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2"/>
      <c r="B971" s="3"/>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2"/>
      <c r="B972" s="3"/>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2"/>
      <c r="B973" s="3"/>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2"/>
      <c r="B974" s="3"/>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2"/>
      <c r="B975" s="3"/>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2"/>
      <c r="B976" s="3"/>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2"/>
      <c r="B977" s="3"/>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2"/>
      <c r="B978" s="3"/>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2"/>
      <c r="B979" s="3"/>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2"/>
      <c r="B980" s="3"/>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2"/>
      <c r="B981" s="3"/>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2"/>
      <c r="B982" s="3"/>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2"/>
      <c r="B983" s="3"/>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2"/>
      <c r="B984" s="3"/>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2"/>
      <c r="B985" s="3"/>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2"/>
      <c r="B986" s="3"/>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2"/>
      <c r="B987" s="3"/>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2"/>
      <c r="B988" s="3"/>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2"/>
      <c r="B989" s="3"/>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2"/>
      <c r="B990" s="3"/>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2"/>
      <c r="B991" s="3"/>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2"/>
      <c r="B992" s="3"/>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2"/>
      <c r="B993" s="3"/>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2"/>
      <c r="B994" s="3"/>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2"/>
      <c r="B995" s="3"/>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2"/>
      <c r="B996" s="3"/>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2"/>
      <c r="B997" s="3"/>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2"/>
      <c r="B998" s="3"/>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2"/>
      <c r="B999" s="3"/>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2"/>
      <c r="B1000" s="3"/>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B2"/>
    <hyperlink r:id="rId2" ref="B3"/>
    <hyperlink r:id="rId3" ref="B11"/>
    <hyperlink r:id="rId4" ref="B17"/>
  </hyperlinks>
  <printOptions/>
  <pageMargins bottom="0.5" footer="0.0" header="0.0" left="0.5" right="0.5" top="0.5"/>
  <pageSetup orientation="portrait"/>
  <drawing r:id="rId5"/>
</worksheet>
</file>